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tude\Projet\Evaluation\prestashop_ui\docs\"/>
    </mc:Choice>
  </mc:AlternateContent>
  <xr:revisionPtr revIDLastSave="0" documentId="13_ncr:1_{9E51B58F-3EE0-4BEF-A9A8-9456A8DCE275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5" l="1"/>
  <c r="I10" i="2" s="1"/>
  <c r="B9" i="5"/>
  <c r="B8" i="5"/>
  <c r="I8" i="2" s="1"/>
  <c r="K8" i="2" s="1"/>
  <c r="B7" i="5"/>
  <c r="B6" i="5"/>
  <c r="B5" i="5"/>
  <c r="I5" i="2" s="1"/>
  <c r="B4" i="5"/>
  <c r="I4" i="2" s="1"/>
  <c r="B3" i="5"/>
  <c r="I3" i="2" s="1"/>
  <c r="B2" i="5"/>
  <c r="I2" i="2" s="1"/>
  <c r="A2" i="4"/>
  <c r="I9" i="2"/>
  <c r="K9" i="2" s="1"/>
  <c r="I7" i="2"/>
  <c r="I6" i="2"/>
  <c r="J6" i="2" s="1"/>
  <c r="K6" i="2" s="1"/>
  <c r="J4" i="2" l="1"/>
  <c r="K4" i="2" s="1"/>
  <c r="B2" i="4"/>
  <c r="J2" i="2"/>
  <c r="K3" i="2"/>
  <c r="J3" i="2"/>
  <c r="K5" i="2"/>
  <c r="J5" i="2"/>
  <c r="J10" i="2"/>
  <c r="K10" i="2"/>
  <c r="J7" i="2"/>
  <c r="K7" i="2" s="1"/>
  <c r="C2" i="4" l="1"/>
  <c r="C3" i="4" s="1"/>
  <c r="K2" i="2"/>
  <c r="D2" i="4" l="1"/>
  <c r="B12" i="3" s="1"/>
  <c r="E2" i="4"/>
</calcChain>
</file>

<file path=xl/sharedStrings.xml><?xml version="1.0" encoding="utf-8"?>
<sst xmlns="http://schemas.openxmlformats.org/spreadsheetml/2006/main" count="93" uniqueCount="48">
  <si>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</si>
  <si>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</si>
  <si>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</si>
  <si>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</si>
  <si>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</si>
  <si>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</si>
  <si>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</si>
  <si>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</si>
  <si>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</si>
  <si>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</si>
  <si>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</si>
  <si>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</si>
  <si>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</si>
  <si>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</si>
  <si>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</si>
  <si>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</si>
  <si>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</si>
  <si>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</si>
  <si>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</si>
  <si>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</si>
  <si>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</si>
  <si>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Création html</t>
  </si>
  <si>
    <t>Affichage</t>
  </si>
  <si>
    <t>Design css</t>
  </si>
  <si>
    <t>Metier</t>
  </si>
  <si>
    <t>checkLogin</t>
  </si>
  <si>
    <t>Integration</t>
  </si>
  <si>
    <t>Gestion Categorie</t>
  </si>
  <si>
    <t>Categorie</t>
  </si>
  <si>
    <t>table login</t>
  </si>
  <si>
    <t>données test</t>
  </si>
  <si>
    <t>Liste</t>
  </si>
  <si>
    <t>Categorie-add</t>
  </si>
  <si>
    <t>Ajout</t>
  </si>
  <si>
    <t>Base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</si>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</sst>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4" fillId="0" borderId="0" xfId="0" applyFont="1"/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hary Razafindralambo" refreshedDate="46160.003099189817" refreshedVersion="8" recordCount="20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ackoffice"/>
    <s v="Gestion Login"/>
    <s v="Index"/>
    <s v="Création html"/>
    <s v="Affichage"/>
    <x v="0"/>
    <n v="30"/>
    <n v="20"/>
    <n v="10"/>
    <n v="0.66666666666666663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1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/>
  </sheetViews>
  <sheetFormatPr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"/>
  <sheetViews>
    <sheetView workbookViewId="0"/>
  </sheetViews>
  <sheetFormatPr defaultColWidth="12.6640625" defaultRowHeight="15.75" customHeight="1"/>
  <cols>
    <col min="1" max="1" width="5.88671875" customWidth="1"/>
    <col min="2" max="2" width="19" customWidth="1"/>
    <col min="3" max="3" width="18" customWidth="1"/>
    <col min="5" max="5" width="16.33203125" customWidth="1"/>
  </cols>
  <sheetData>
    <row r="1" spans="1:1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>
      <c r="A2" s="5">
        <v>1</v>
      </c>
      <c r="B2" s="5" t="s">
        <v>18</v>
      </c>
      <c r="C2" s="6" t="s">
        <v>19</v>
      </c>
      <c r="D2" s="6" t="s">
        <v>20</v>
      </c>
      <c r="E2" s="7" t="s">
        <v>21</v>
      </c>
      <c r="F2" s="7" t="s">
        <v>22</v>
      </c>
      <c r="G2" s="6" t="s">
        <v>2</v>
      </c>
      <c r="H2" s="6">
        <v>30</v>
      </c>
      <c r="I2" s="8">
        <f>detail_avancement!B2</f>
        <v>20</v>
      </c>
      <c r="J2" s="8">
        <f t="shared" ref="J2:J7" si="0">H2-I2</f>
        <v>10</v>
      </c>
      <c r="K2" s="9">
        <f t="shared" ref="K2:K10" si="1">(I2/(I2+J2))</f>
        <v>0.66666666666666663</v>
      </c>
    </row>
    <row r="3" spans="1:11">
      <c r="A3" s="5">
        <v>2</v>
      </c>
      <c r="B3" s="5" t="s">
        <v>18</v>
      </c>
      <c r="C3" s="7" t="s">
        <v>19</v>
      </c>
      <c r="D3" s="6" t="s">
        <v>20</v>
      </c>
      <c r="E3" s="7" t="s">
        <v>23</v>
      </c>
      <c r="F3" s="7" t="s">
        <v>24</v>
      </c>
      <c r="G3" s="6" t="s">
        <v>0</v>
      </c>
      <c r="H3" s="6">
        <v>20</v>
      </c>
      <c r="I3" s="8">
        <f>detail_avancement!B3</f>
        <v>0</v>
      </c>
      <c r="J3" s="8">
        <f t="shared" si="0"/>
        <v>20</v>
      </c>
      <c r="K3" s="9">
        <f t="shared" si="1"/>
        <v>0</v>
      </c>
    </row>
    <row r="4" spans="1:11">
      <c r="A4" s="5">
        <v>3</v>
      </c>
      <c r="B4" s="5" t="s">
        <v>18</v>
      </c>
      <c r="C4" s="7" t="s">
        <v>19</v>
      </c>
      <c r="D4" s="6" t="s">
        <v>20</v>
      </c>
      <c r="E4" s="7" t="s">
        <v>25</v>
      </c>
      <c r="F4" s="7" t="s">
        <v>26</v>
      </c>
      <c r="G4" s="6" t="s">
        <v>0</v>
      </c>
      <c r="H4" s="6">
        <v>30</v>
      </c>
      <c r="I4" s="8">
        <f>detail_avancement!B4</f>
        <v>10</v>
      </c>
      <c r="J4" s="8">
        <f t="shared" si="0"/>
        <v>20</v>
      </c>
      <c r="K4" s="9">
        <f t="shared" si="1"/>
        <v>0.33333333333333331</v>
      </c>
    </row>
    <row r="5" spans="1:11">
      <c r="A5" s="5">
        <v>4</v>
      </c>
      <c r="B5" s="5" t="s">
        <v>18</v>
      </c>
      <c r="C5" s="7" t="s">
        <v>27</v>
      </c>
      <c r="D5" s="6" t="s">
        <v>28</v>
      </c>
      <c r="E5" s="7" t="s">
        <v>29</v>
      </c>
      <c r="F5" s="7" t="s">
        <v>22</v>
      </c>
      <c r="G5" s="6" t="s">
        <v>4</v>
      </c>
      <c r="H5" s="6">
        <v>10</v>
      </c>
      <c r="I5" s="8">
        <f>detail_avancement!B5</f>
        <v>0</v>
      </c>
      <c r="J5" s="8">
        <f t="shared" si="0"/>
        <v>10</v>
      </c>
      <c r="K5" s="9">
        <f t="shared" si="1"/>
        <v>0</v>
      </c>
    </row>
    <row r="6" spans="1:11">
      <c r="A6" s="5">
        <v>5</v>
      </c>
      <c r="B6" s="5" t="s">
        <v>18</v>
      </c>
      <c r="C6" s="7" t="s">
        <v>27</v>
      </c>
      <c r="D6" s="6" t="s">
        <v>28</v>
      </c>
      <c r="E6" s="7" t="s">
        <v>30</v>
      </c>
      <c r="F6" s="7" t="s">
        <v>24</v>
      </c>
      <c r="G6" s="6" t="s">
        <v>4</v>
      </c>
      <c r="H6" s="6">
        <v>50</v>
      </c>
      <c r="I6" s="8">
        <f>detail_avancement!B6</f>
        <v>10</v>
      </c>
      <c r="J6" s="8">
        <f t="shared" si="0"/>
        <v>40</v>
      </c>
      <c r="K6" s="9">
        <f t="shared" si="1"/>
        <v>0.2</v>
      </c>
    </row>
    <row r="7" spans="1:11">
      <c r="A7" s="5">
        <v>6</v>
      </c>
      <c r="B7" s="5" t="s">
        <v>18</v>
      </c>
      <c r="C7" s="7" t="s">
        <v>27</v>
      </c>
      <c r="D7" s="6" t="s">
        <v>28</v>
      </c>
      <c r="E7" s="7" t="s">
        <v>31</v>
      </c>
      <c r="F7" s="7" t="s">
        <v>26</v>
      </c>
      <c r="G7" s="6" t="s">
        <v>6</v>
      </c>
      <c r="H7" s="6">
        <v>25</v>
      </c>
      <c r="I7" s="8">
        <f>detail_avancement!B7</f>
        <v>0</v>
      </c>
      <c r="J7" s="8">
        <f t="shared" si="0"/>
        <v>25</v>
      </c>
      <c r="K7" s="9">
        <f t="shared" si="1"/>
        <v>0</v>
      </c>
    </row>
    <row r="8" spans="1:11">
      <c r="A8" s="5">
        <v>7</v>
      </c>
      <c r="B8" s="5" t="s">
        <v>18</v>
      </c>
      <c r="C8" s="7" t="s">
        <v>27</v>
      </c>
      <c r="D8" s="6" t="s">
        <v>32</v>
      </c>
      <c r="E8" s="7" t="s">
        <v>33</v>
      </c>
      <c r="F8" s="7" t="s">
        <v>22</v>
      </c>
      <c r="G8" s="6" t="s">
        <v>2</v>
      </c>
      <c r="H8" s="6">
        <v>10</v>
      </c>
      <c r="I8" s="8">
        <f>detail_avancement!B8</f>
        <v>90</v>
      </c>
      <c r="J8" s="8">
        <v>0</v>
      </c>
      <c r="K8" s="9">
        <f t="shared" si="1"/>
        <v>1</v>
      </c>
    </row>
    <row r="9" spans="1:11">
      <c r="A9" s="5">
        <v>8</v>
      </c>
      <c r="B9" s="5" t="s">
        <v>18</v>
      </c>
      <c r="C9" s="7" t="s">
        <v>27</v>
      </c>
      <c r="D9" s="6" t="s">
        <v>32</v>
      </c>
      <c r="E9" s="7" t="s">
        <v>33</v>
      </c>
      <c r="F9" s="7" t="s">
        <v>24</v>
      </c>
      <c r="G9" s="6" t="s">
        <v>6</v>
      </c>
      <c r="H9" s="6">
        <v>5</v>
      </c>
      <c r="I9" s="8">
        <f>detail_avancement!B9</f>
        <v>30</v>
      </c>
      <c r="J9" s="8">
        <v>0</v>
      </c>
      <c r="K9" s="9">
        <f t="shared" si="1"/>
        <v>1</v>
      </c>
    </row>
    <row r="10" spans="1:11">
      <c r="A10" s="5">
        <v>9</v>
      </c>
      <c r="B10" s="5" t="s">
        <v>18</v>
      </c>
      <c r="C10" s="7" t="s">
        <v>27</v>
      </c>
      <c r="D10" s="6" t="s">
        <v>32</v>
      </c>
      <c r="E10" s="7" t="s">
        <v>33</v>
      </c>
      <c r="F10" s="6" t="s">
        <v>34</v>
      </c>
      <c r="G10" s="6" t="s">
        <v>6</v>
      </c>
      <c r="H10" s="6">
        <v>5</v>
      </c>
      <c r="I10" s="8">
        <f>detail_avancement!B10</f>
        <v>0</v>
      </c>
      <c r="J10" s="8">
        <f>H10-I10</f>
        <v>5</v>
      </c>
      <c r="K10" s="9">
        <f t="shared" si="1"/>
        <v>0</v>
      </c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6640625" defaultRowHeight="15.75" customHeight="1"/>
  <sheetData>
    <row r="1" spans="1:4">
      <c r="A1" s="24"/>
      <c r="B1" s="25" t="s">
        <v>42</v>
      </c>
      <c r="C1" s="26"/>
      <c r="D1" s="27"/>
    </row>
    <row r="2" spans="1:4">
      <c r="A2" s="25" t="s">
        <v>13</v>
      </c>
      <c r="B2" s="24" t="s">
        <v>43</v>
      </c>
      <c r="C2" s="28" t="s">
        <v>44</v>
      </c>
      <c r="D2" s="29" t="s">
        <v>45</v>
      </c>
    </row>
    <row r="3" spans="1:4">
      <c r="A3" s="24" t="s">
        <v>6</v>
      </c>
      <c r="B3" s="30">
        <v>35</v>
      </c>
      <c r="C3" s="31">
        <v>30</v>
      </c>
      <c r="D3" s="32">
        <v>30</v>
      </c>
    </row>
    <row r="4" spans="1:4">
      <c r="A4" s="33" t="s">
        <v>0</v>
      </c>
      <c r="B4" s="34">
        <v>50</v>
      </c>
      <c r="C4" s="35">
        <v>10</v>
      </c>
      <c r="D4" s="36">
        <v>40</v>
      </c>
    </row>
    <row r="5" spans="1:4">
      <c r="A5" s="33" t="s">
        <v>2</v>
      </c>
      <c r="B5" s="34">
        <v>40</v>
      </c>
      <c r="C5" s="35">
        <v>110</v>
      </c>
      <c r="D5" s="36">
        <v>10</v>
      </c>
    </row>
    <row r="6" spans="1:4">
      <c r="A6" s="33" t="s">
        <v>4</v>
      </c>
      <c r="B6" s="34">
        <v>60</v>
      </c>
      <c r="C6" s="35">
        <v>10</v>
      </c>
      <c r="D6" s="36">
        <v>50</v>
      </c>
    </row>
    <row r="7" spans="1:4">
      <c r="A7" s="33" t="s">
        <v>46</v>
      </c>
      <c r="B7" s="34"/>
      <c r="C7" s="35"/>
      <c r="D7" s="36"/>
    </row>
    <row r="8" spans="1:4" ht="15.75" customHeight="1">
      <c r="A8" s="37" t="s">
        <v>47</v>
      </c>
      <c r="B8" s="38">
        <v>185</v>
      </c>
      <c r="C8" s="39">
        <v>160</v>
      </c>
      <c r="D8" s="40">
        <v>130</v>
      </c>
    </row>
    <row r="12" spans="1:4">
      <c r="A12" s="12" t="s">
        <v>17</v>
      </c>
      <c r="B12" s="13">
        <f>avancement!D2</f>
        <v>0.55172413793103448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6640625" defaultRowHeight="15.75" customHeight="1"/>
  <cols>
    <col min="1" max="1" width="15.77734375" customWidth="1"/>
    <col min="2" max="2" width="17.88671875" customWidth="1"/>
    <col min="3" max="3" width="17" customWidth="1"/>
    <col min="4" max="4" width="18.21875" customWidth="1"/>
    <col min="5" max="5" width="13.77734375" customWidth="1"/>
  </cols>
  <sheetData>
    <row r="1" spans="1:5" ht="15.75" customHeight="1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</row>
    <row r="2" spans="1:5" ht="15.75" customHeight="1">
      <c r="A2" s="15">
        <f>SUM('liste des taches'!H:H)</f>
        <v>185</v>
      </c>
      <c r="B2" s="15">
        <f>SUM('liste des taches'!I:I)</f>
        <v>160</v>
      </c>
      <c r="C2" s="15">
        <f>SUM('liste des taches'!J:J)</f>
        <v>130</v>
      </c>
      <c r="D2" s="16">
        <f>(B2/(B2+C2))</f>
        <v>0.55172413793103448</v>
      </c>
      <c r="E2" s="17">
        <f>((B2+C2)-A2)/A2</f>
        <v>0.56756756756756754</v>
      </c>
    </row>
    <row r="3" spans="1:5" ht="15.75" customHeight="1">
      <c r="A3" s="18"/>
      <c r="B3" s="18"/>
      <c r="C3" s="15">
        <f>C2/60</f>
        <v>2.1666666666666665</v>
      </c>
      <c r="D3" s="18" t="s">
        <v>40</v>
      </c>
      <c r="E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6640625" defaultRowHeight="15.75" customHeight="1"/>
  <sheetData>
    <row r="1" spans="1:5" ht="15.75" customHeight="1">
      <c r="A1" s="19" t="s">
        <v>7</v>
      </c>
      <c r="B1" s="20" t="s">
        <v>41</v>
      </c>
      <c r="C1" s="21">
        <v>46048</v>
      </c>
      <c r="D1" s="21">
        <v>46049</v>
      </c>
      <c r="E1" s="21">
        <v>46050</v>
      </c>
    </row>
    <row r="2" spans="1:5" ht="15.75" customHeight="1">
      <c r="A2" s="22">
        <v>1</v>
      </c>
      <c r="B2" s="15">
        <f t="shared" ref="B2:B10" si="0">SUM(D2:P2)</f>
        <v>20</v>
      </c>
      <c r="C2" s="18"/>
      <c r="D2" s="22">
        <v>20</v>
      </c>
      <c r="E2" s="18"/>
    </row>
    <row r="3" spans="1:5" ht="15.75" customHeight="1">
      <c r="A3" s="22">
        <v>2</v>
      </c>
      <c r="B3" s="15">
        <f t="shared" si="0"/>
        <v>0</v>
      </c>
      <c r="C3" s="18"/>
      <c r="D3" s="18"/>
      <c r="E3" s="18"/>
    </row>
    <row r="4" spans="1:5" ht="15.75" customHeight="1">
      <c r="A4" s="22">
        <v>3</v>
      </c>
      <c r="B4" s="15">
        <f t="shared" si="0"/>
        <v>10</v>
      </c>
      <c r="C4" s="22">
        <v>20</v>
      </c>
      <c r="D4" s="22">
        <v>10</v>
      </c>
      <c r="E4" s="18"/>
    </row>
    <row r="5" spans="1:5" ht="15.75" customHeight="1">
      <c r="A5" s="22">
        <v>4</v>
      </c>
      <c r="B5" s="15">
        <f t="shared" si="0"/>
        <v>0</v>
      </c>
      <c r="C5" s="18"/>
      <c r="D5" s="18"/>
      <c r="E5" s="18"/>
    </row>
    <row r="6" spans="1:5" ht="15.75" customHeight="1">
      <c r="A6" s="22">
        <v>5</v>
      </c>
      <c r="B6" s="15">
        <f t="shared" si="0"/>
        <v>10</v>
      </c>
      <c r="C6" s="18"/>
      <c r="D6" s="23">
        <v>10</v>
      </c>
      <c r="E6" s="18"/>
    </row>
    <row r="7" spans="1:5" ht="15.75" customHeight="1">
      <c r="A7" s="22">
        <v>6</v>
      </c>
      <c r="B7" s="15">
        <f t="shared" si="0"/>
        <v>0</v>
      </c>
      <c r="C7" s="18"/>
      <c r="D7" s="18"/>
      <c r="E7" s="18"/>
    </row>
    <row r="8" spans="1:5" ht="15.75" customHeight="1">
      <c r="A8" s="22">
        <v>7</v>
      </c>
      <c r="B8" s="15">
        <f t="shared" si="0"/>
        <v>90</v>
      </c>
      <c r="C8" s="18"/>
      <c r="D8" s="23">
        <v>90</v>
      </c>
      <c r="E8" s="18"/>
    </row>
    <row r="9" spans="1:5" ht="15.75" customHeight="1">
      <c r="A9" s="11">
        <v>8</v>
      </c>
      <c r="B9" s="15">
        <f t="shared" si="0"/>
        <v>30</v>
      </c>
      <c r="D9" s="11">
        <v>30</v>
      </c>
    </row>
    <row r="10" spans="1:5" ht="15.75" customHeight="1">
      <c r="A10" s="11">
        <v>9</v>
      </c>
      <c r="B10" s="1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Nahary Razafindralambo</cp:lastModifiedBy>
  <dcterms:modified xsi:type="dcterms:W3CDTF">2026-05-17T21:04:35Z</dcterms:modified>
</cp:coreProperties>
</file>