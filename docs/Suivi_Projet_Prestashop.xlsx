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p" sheetId="1" state="visible" r:id="rId1"/>
    <sheet name="Avancement" sheetId="2" state="visible" r:id="rId2"/>
    <sheet name="Liste des taches" sheetId="3" state="visible" r:id="rId3"/>
    <sheet name="Detail Avanceme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E1F2"/>
        <bgColor rgb="00D9E1F2"/>
      </patternFill>
    </fill>
    <fill>
      <patternFill patternType="solid">
        <fgColor rgb="00FCE4D6"/>
        <bgColor rgb="00FCE4D6"/>
      </patternFill>
    </fill>
    <fill>
      <patternFill patternType="solid">
        <fgColor rgb="009BC2E6"/>
        <bgColor rgb="009BC2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10" fontId="0" fillId="4" borderId="0" pivotButton="0" quotePrefix="0" xfId="0"/>
    <xf numFmtId="0" fontId="1" fillId="5" borderId="0" pivotButton="0" quotePrefix="0" xfId="0"/>
    <xf numFmtId="1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Qui</t>
        </is>
      </c>
      <c r="B1" s="1" t="inlineStr">
        <is>
          <t>SUM de Estimation</t>
        </is>
      </c>
      <c r="C1" s="1" t="inlineStr">
        <is>
          <t>SUM de Temps passé</t>
        </is>
      </c>
      <c r="D1" s="1" t="inlineStr">
        <is>
          <t>SUM de Reste à faire</t>
        </is>
      </c>
    </row>
    <row r="2">
      <c r="A2" t="inlineStr">
        <is>
          <t>Moi</t>
        </is>
      </c>
      <c r="B2">
        <f>'Detail Avancement'!H15</f>
        <v/>
      </c>
      <c r="C2">
        <f>'Detail Avancement'!I15</f>
        <v/>
      </c>
      <c r="D2">
        <f>'Detail Avancement'!J15</f>
        <v/>
      </c>
    </row>
    <row r="3">
      <c r="A3" s="2" t="inlineStr">
        <is>
          <t>Total général</t>
        </is>
      </c>
      <c r="B3" s="2">
        <f>B2</f>
        <v/>
      </c>
      <c r="C3" s="2">
        <f>C2</f>
        <v/>
      </c>
      <c r="D3" s="2">
        <f>D2</f>
        <v/>
      </c>
    </row>
    <row r="5">
      <c r="A5" s="3" t="inlineStr">
        <is>
          <t>Avancement</t>
        </is>
      </c>
      <c r="B5" s="4">
        <f>C3/B3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estimation total</t>
        </is>
      </c>
      <c r="B1" s="5" t="inlineStr">
        <is>
          <t>temps passé total</t>
        </is>
      </c>
      <c r="C1" s="5" t="inlineStr">
        <is>
          <t>reste à faire total</t>
        </is>
      </c>
      <c r="D1" s="5" t="inlineStr">
        <is>
          <t>avancement</t>
        </is>
      </c>
      <c r="E1" s="5" t="inlineStr">
        <is>
          <t>dépassement</t>
        </is>
      </c>
    </row>
    <row r="2">
      <c r="A2">
        <f>Recap!B3</f>
        <v/>
      </c>
      <c r="B2">
        <f>Recap!C3</f>
        <v/>
      </c>
      <c r="C2">
        <f>Recap!D3</f>
        <v/>
      </c>
      <c r="D2" s="6">
        <f>Recap!B5</f>
        <v/>
      </c>
      <c r="E2" t="inlineStr">
        <is>
          <t>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Ligne</t>
        </is>
      </c>
      <c r="B1" s="5" t="inlineStr">
        <is>
          <t>Total</t>
        </is>
      </c>
      <c r="C1" s="5" t="inlineStr">
        <is>
          <t>05/05</t>
        </is>
      </c>
      <c r="D1" s="5" t="inlineStr">
        <is>
          <t>06/05</t>
        </is>
      </c>
      <c r="E1" s="5" t="inlineStr">
        <is>
          <t>07/05</t>
        </is>
      </c>
      <c r="F1" s="5" t="inlineStr">
        <is>
          <t>08/05</t>
        </is>
      </c>
      <c r="G1" s="5" t="inlineStr">
        <is>
          <t>09/05</t>
        </is>
      </c>
      <c r="H1" s="5" t="inlineStr">
        <is>
          <t>11/05</t>
        </is>
      </c>
      <c r="I1" s="5" t="inlineStr">
        <is>
          <t>12/05</t>
        </is>
      </c>
      <c r="J1" s="5" t="inlineStr">
        <is>
          <t>13/05</t>
        </is>
      </c>
      <c r="K1" s="5" t="inlineStr">
        <is>
          <t>14/05</t>
        </is>
      </c>
      <c r="L1" s="5" t="inlineStr">
        <is>
          <t>15/05</t>
        </is>
      </c>
      <c r="M1" s="5" t="inlineStr">
        <is>
          <t>18/05</t>
        </is>
      </c>
    </row>
    <row r="2">
      <c r="A2" t="n">
        <v>1</v>
      </c>
      <c r="B2" t="n">
        <v>15</v>
      </c>
      <c r="C2" t="n">
        <v>15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t="n">
        <v>2</v>
      </c>
      <c r="B3" t="n">
        <v>10</v>
      </c>
      <c r="C3" t="n">
        <v>0</v>
      </c>
      <c r="D3" t="n">
        <v>10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n">
        <v>3</v>
      </c>
      <c r="B4" t="n">
        <v>12</v>
      </c>
      <c r="C4" t="n">
        <v>0</v>
      </c>
      <c r="D4" t="n">
        <v>0</v>
      </c>
      <c r="E4" t="n">
        <v>12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4</v>
      </c>
      <c r="B5" t="n">
        <v>20</v>
      </c>
      <c r="C5" t="n">
        <v>0</v>
      </c>
      <c r="D5" t="n">
        <v>0</v>
      </c>
      <c r="E5" t="n">
        <v>0</v>
      </c>
      <c r="F5" t="n">
        <v>20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t="n">
        <v>5</v>
      </c>
      <c r="B6" t="n">
        <v>25</v>
      </c>
      <c r="C6" t="n">
        <v>0</v>
      </c>
      <c r="D6" t="n">
        <v>0</v>
      </c>
      <c r="E6" t="n">
        <v>0</v>
      </c>
      <c r="F6" t="n">
        <v>0</v>
      </c>
      <c r="G6" t="n">
        <v>25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n">
        <v>6</v>
      </c>
      <c r="B7" t="n">
        <v>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n">
        <v>7</v>
      </c>
      <c r="B8" t="n">
        <v>30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0</v>
      </c>
      <c r="K8" t="n">
        <v>0</v>
      </c>
      <c r="L8" t="n">
        <v>0</v>
      </c>
      <c r="M8" t="n">
        <v>0</v>
      </c>
    </row>
    <row r="9">
      <c r="A9" t="n">
        <v>8</v>
      </c>
      <c r="B9" t="n">
        <v>15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</v>
      </c>
      <c r="L9" t="n">
        <v>0</v>
      </c>
      <c r="M9" t="n">
        <v>0</v>
      </c>
    </row>
    <row r="10">
      <c r="A10" t="n">
        <v>9</v>
      </c>
      <c r="B10" t="n">
        <v>20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20</v>
      </c>
      <c r="L10" t="n">
        <v>0</v>
      </c>
      <c r="M10" t="n">
        <v>0</v>
      </c>
    </row>
    <row r="11">
      <c r="A11" t="n">
        <v>10</v>
      </c>
      <c r="B11" t="n">
        <v>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25</v>
      </c>
      <c r="M11" t="n">
        <v>0</v>
      </c>
    </row>
    <row r="12">
      <c r="A12" t="n">
        <v>11</v>
      </c>
      <c r="B12" t="n">
        <v>20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</v>
      </c>
      <c r="M12" t="n">
        <v>2</v>
      </c>
    </row>
    <row r="13">
      <c r="A13" t="n">
        <v>12</v>
      </c>
      <c r="B13" t="n">
        <v>35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Ligne</t>
        </is>
      </c>
      <c r="B1" s="7" t="inlineStr">
        <is>
          <t>Catégorie</t>
        </is>
      </c>
      <c r="C1" s="7" t="inlineStr">
        <is>
          <t>Module</t>
        </is>
      </c>
      <c r="D1" s="7" t="inlineStr">
        <is>
          <t>Page</t>
        </is>
      </c>
      <c r="E1" s="7" t="inlineStr">
        <is>
          <t>Description tâche</t>
        </is>
      </c>
      <c r="F1" s="7" t="inlineStr">
        <is>
          <t>Type</t>
        </is>
      </c>
      <c r="G1" s="7" t="inlineStr">
        <is>
          <t>Qui</t>
        </is>
      </c>
      <c r="H1" s="7" t="inlineStr">
        <is>
          <t>Estimation</t>
        </is>
      </c>
      <c r="I1" s="7" t="inlineStr">
        <is>
          <t>Temps passé</t>
        </is>
      </c>
      <c r="J1" s="7" t="inlineStr">
        <is>
          <t>Reste à faire</t>
        </is>
      </c>
      <c r="K1" s="7" t="inlineStr">
        <is>
          <t>Avancement</t>
        </is>
      </c>
    </row>
    <row r="2">
      <c r="A2" t="n">
        <v>1</v>
      </c>
      <c r="B2" t="inlineStr">
        <is>
          <t>Shared</t>
        </is>
      </c>
      <c r="C2" t="inlineStr">
        <is>
          <t>API</t>
        </is>
      </c>
      <c r="D2" t="inlineStr">
        <is>
          <t>-</t>
        </is>
      </c>
      <c r="E2" t="inlineStr">
        <is>
          <t>Mise en place API Service et Serializer XML</t>
        </is>
      </c>
      <c r="F2" t="inlineStr">
        <is>
          <t>Base</t>
        </is>
      </c>
      <c r="G2" t="inlineStr">
        <is>
          <t>Moi</t>
        </is>
      </c>
      <c r="H2" t="n">
        <v>15</v>
      </c>
      <c r="I2" t="n">
        <v>15</v>
      </c>
      <c r="J2">
        <f>H2-I2</f>
        <v/>
      </c>
      <c r="K2" s="6">
        <f>IF(H2&gt;0, I2/H2, 0)</f>
        <v/>
      </c>
    </row>
    <row r="3">
      <c r="A3" t="n">
        <v>2</v>
      </c>
      <c r="B3" t="inlineStr">
        <is>
          <t>Backoffice</t>
        </is>
      </c>
      <c r="C3" t="inlineStr">
        <is>
          <t>Auth</t>
        </is>
      </c>
      <c r="D3" t="inlineStr">
        <is>
          <t>Login</t>
        </is>
      </c>
      <c r="E3" t="inlineStr">
        <is>
          <t>Création page login et store adminAuth</t>
        </is>
      </c>
      <c r="F3" t="inlineStr">
        <is>
          <t>Intégration</t>
        </is>
      </c>
      <c r="G3" t="inlineStr">
        <is>
          <t>Moi</t>
        </is>
      </c>
      <c r="H3" t="n">
        <v>10</v>
      </c>
      <c r="I3" t="n">
        <v>10</v>
      </c>
      <c r="J3">
        <f>H3-I3</f>
        <v/>
      </c>
      <c r="K3" s="6">
        <f>IF(H3&gt;0, I3/H3, 0)</f>
        <v/>
      </c>
    </row>
    <row r="4">
      <c r="A4" t="n">
        <v>3</v>
      </c>
      <c r="B4" t="inlineStr">
        <is>
          <t>Backoffice</t>
        </is>
      </c>
      <c r="C4" t="inlineStr">
        <is>
          <t>Inventory</t>
        </is>
      </c>
      <c r="D4" t="inlineStr">
        <is>
          <t>Import</t>
        </is>
      </c>
      <c r="E4" t="inlineStr">
        <is>
          <t>Phase 1 &amp; 2 : Import Taxes et Catégories</t>
        </is>
      </c>
      <c r="F4" t="inlineStr">
        <is>
          <t>Métier</t>
        </is>
      </c>
      <c r="G4" t="inlineStr">
        <is>
          <t>Moi</t>
        </is>
      </c>
      <c r="H4" t="n">
        <v>12</v>
      </c>
      <c r="I4" t="n">
        <v>12</v>
      </c>
      <c r="J4">
        <f>H4-I4</f>
        <v/>
      </c>
      <c r="K4" s="6">
        <f>IF(H4&gt;0, I4/H4, 0)</f>
        <v/>
      </c>
    </row>
    <row r="5">
      <c r="A5" t="n">
        <v>4</v>
      </c>
      <c r="B5" t="inlineStr">
        <is>
          <t>Backoffice</t>
        </is>
      </c>
      <c r="C5" t="inlineStr">
        <is>
          <t>Inventory</t>
        </is>
      </c>
      <c r="D5" t="inlineStr">
        <is>
          <t>Import</t>
        </is>
      </c>
      <c r="E5" t="inlineStr">
        <is>
          <t>Phase 3 : Import Produits (Spec 1)</t>
        </is>
      </c>
      <c r="F5" t="inlineStr">
        <is>
          <t>Métier</t>
        </is>
      </c>
      <c r="G5" t="inlineStr">
        <is>
          <t>Moi</t>
        </is>
      </c>
      <c r="H5" t="n">
        <v>20</v>
      </c>
      <c r="I5" t="n">
        <v>20</v>
      </c>
      <c r="J5">
        <f>H5-I5</f>
        <v/>
      </c>
      <c r="K5" s="6">
        <f>IF(H5&gt;0, I5/H5, 0)</f>
        <v/>
      </c>
    </row>
    <row r="6">
      <c r="A6" t="n">
        <v>5</v>
      </c>
      <c r="B6" t="inlineStr">
        <is>
          <t>Backoffice</t>
        </is>
      </c>
      <c r="C6" t="inlineStr">
        <is>
          <t>Inventory</t>
        </is>
      </c>
      <c r="D6" t="inlineStr">
        <is>
          <t>Import</t>
        </is>
      </c>
      <c r="E6" t="inlineStr">
        <is>
          <t>Phase 4 &amp; 5 : Attributs et Combinaisons (Spec 2)</t>
        </is>
      </c>
      <c r="F6" t="inlineStr">
        <is>
          <t>Métier</t>
        </is>
      </c>
      <c r="G6" t="inlineStr">
        <is>
          <t>Moi</t>
        </is>
      </c>
      <c r="H6" t="n">
        <v>25</v>
      </c>
      <c r="I6" t="n">
        <v>25</v>
      </c>
      <c r="J6">
        <f>H6-I6</f>
        <v/>
      </c>
      <c r="K6" s="6">
        <f>IF(H6&gt;0, I6/H6, 0)</f>
        <v/>
      </c>
    </row>
    <row r="7">
      <c r="A7" t="n">
        <v>6</v>
      </c>
      <c r="B7" t="inlineStr">
        <is>
          <t>Backoffice</t>
        </is>
      </c>
      <c r="C7" t="inlineStr">
        <is>
          <t>Inventory</t>
        </is>
      </c>
      <c r="D7" t="inlineStr">
        <is>
          <t>Import</t>
        </is>
      </c>
      <c r="E7" t="inlineStr">
        <is>
          <t>Phase 6 : Mise à jour des stocks</t>
        </is>
      </c>
      <c r="F7" t="inlineStr">
        <is>
          <t>Métier</t>
        </is>
      </c>
      <c r="G7" t="inlineStr">
        <is>
          <t>Moi</t>
        </is>
      </c>
      <c r="H7" t="n">
        <v>15</v>
      </c>
      <c r="I7" t="n">
        <v>15</v>
      </c>
      <c r="J7">
        <f>H7-I7</f>
        <v/>
      </c>
      <c r="K7" s="6">
        <f>IF(H7&gt;0, I7/H7, 0)</f>
        <v/>
      </c>
    </row>
    <row r="8">
      <c r="A8" t="n">
        <v>7</v>
      </c>
      <c r="B8" t="inlineStr">
        <is>
          <t>Backoffice</t>
        </is>
      </c>
      <c r="C8" t="inlineStr">
        <is>
          <t>Inventory</t>
        </is>
      </c>
      <c r="D8" t="inlineStr">
        <is>
          <t>Import</t>
        </is>
      </c>
      <c r="E8" t="inlineStr">
        <is>
          <t>Phase 7 &amp; 8 : Clients et Commandes (Spec 3)</t>
        </is>
      </c>
      <c r="F8" t="inlineStr">
        <is>
          <t>Métier</t>
        </is>
      </c>
      <c r="G8" t="inlineStr">
        <is>
          <t>Moi</t>
        </is>
      </c>
      <c r="H8" t="n">
        <v>30</v>
      </c>
      <c r="I8" t="n">
        <v>15</v>
      </c>
      <c r="J8">
        <f>H8-I8</f>
        <v/>
      </c>
      <c r="K8" s="6">
        <f>IF(H8&gt;0, I8/H8, 0)</f>
        <v/>
      </c>
    </row>
    <row r="9">
      <c r="A9" t="n">
        <v>8</v>
      </c>
      <c r="B9" t="inlineStr">
        <is>
          <t>Backoffice</t>
        </is>
      </c>
      <c r="C9" t="inlineStr">
        <is>
          <t>Inventory</t>
        </is>
      </c>
      <c r="D9" t="inlineStr">
        <is>
          <t>Import</t>
        </is>
      </c>
      <c r="E9" t="inlineStr">
        <is>
          <t>Phase 9 : Upload des images (Spec 4)</t>
        </is>
      </c>
      <c r="F9" t="inlineStr">
        <is>
          <t>Métier</t>
        </is>
      </c>
      <c r="G9" t="inlineStr">
        <is>
          <t>Moi</t>
        </is>
      </c>
      <c r="H9" t="n">
        <v>15</v>
      </c>
      <c r="I9" t="n">
        <v>2</v>
      </c>
      <c r="J9">
        <f>H9-I9</f>
        <v/>
      </c>
      <c r="K9" s="6">
        <f>IF(H9&gt;0, I9/H9, 0)</f>
        <v/>
      </c>
    </row>
    <row r="10">
      <c r="A10" t="n">
        <v>9</v>
      </c>
      <c r="B10" t="inlineStr">
        <is>
          <t>Frontoffice</t>
        </is>
      </c>
      <c r="C10" t="inlineStr">
        <is>
          <t>Catalog</t>
        </is>
      </c>
      <c r="D10" t="inlineStr">
        <is>
          <t>Shop</t>
        </is>
      </c>
      <c r="E10" t="inlineStr">
        <is>
          <t>Grille de produits et filtres</t>
        </is>
      </c>
      <c r="F10" t="inlineStr">
        <is>
          <t>Affichage</t>
        </is>
      </c>
      <c r="G10" t="inlineStr">
        <is>
          <t>Moi</t>
        </is>
      </c>
      <c r="H10" t="n">
        <v>20</v>
      </c>
      <c r="I10" t="n">
        <v>20</v>
      </c>
      <c r="J10">
        <f>H10-I10</f>
        <v/>
      </c>
      <c r="K10" s="6">
        <f>IF(H10&gt;0, I10/H10, 0)</f>
        <v/>
      </c>
    </row>
    <row r="11">
      <c r="A11" t="n">
        <v>10</v>
      </c>
      <c r="B11" t="inlineStr">
        <is>
          <t>Frontoffice</t>
        </is>
      </c>
      <c r="C11" t="inlineStr">
        <is>
          <t>Catalog</t>
        </is>
      </c>
      <c r="D11" t="inlineStr">
        <is>
          <t>Detail</t>
        </is>
      </c>
      <c r="E11" t="inlineStr">
        <is>
          <t>Page détail produit et déclinaisons</t>
        </is>
      </c>
      <c r="F11" t="inlineStr">
        <is>
          <t>Affichage</t>
        </is>
      </c>
      <c r="G11" t="inlineStr">
        <is>
          <t>Moi</t>
        </is>
      </c>
      <c r="H11" t="n">
        <v>25</v>
      </c>
      <c r="I11" t="n">
        <v>25</v>
      </c>
      <c r="J11">
        <f>H11-I11</f>
        <v/>
      </c>
      <c r="K11" s="6">
        <f>IF(H11&gt;0, I11/H11, 0)</f>
        <v/>
      </c>
    </row>
    <row r="12">
      <c r="A12" t="n">
        <v>11</v>
      </c>
      <c r="B12" t="inlineStr">
        <is>
          <t>Frontoffice</t>
        </is>
      </c>
      <c r="C12" t="inlineStr">
        <is>
          <t>Checkout</t>
        </is>
      </c>
      <c r="D12" t="inlineStr">
        <is>
          <t>Cart</t>
        </is>
      </c>
      <c r="E12" t="inlineStr">
        <is>
          <t>Gestion du panier (Store + Page)</t>
        </is>
      </c>
      <c r="F12" t="inlineStr">
        <is>
          <t>Intégration</t>
        </is>
      </c>
      <c r="G12" t="inlineStr">
        <is>
          <t>Moi</t>
        </is>
      </c>
      <c r="H12" t="n">
        <v>20</v>
      </c>
      <c r="I12" t="n">
        <v>18</v>
      </c>
      <c r="J12">
        <f>H12-I12</f>
        <v/>
      </c>
      <c r="K12" s="6">
        <f>IF(H12&gt;0, I12/H12, 0)</f>
        <v/>
      </c>
    </row>
    <row r="13">
      <c r="A13" t="n">
        <v>12</v>
      </c>
      <c r="B13" t="inlineStr">
        <is>
          <t>Frontoffice</t>
        </is>
      </c>
      <c r="C13" t="inlineStr">
        <is>
          <t>Checkout</t>
        </is>
      </c>
      <c r="D13" t="inlineStr">
        <is>
          <t>Checkout</t>
        </is>
      </c>
      <c r="E13" t="inlineStr">
        <is>
          <t>Tunnel de commande</t>
        </is>
      </c>
      <c r="F13" t="inlineStr">
        <is>
          <t>Métier</t>
        </is>
      </c>
      <c r="G13" t="inlineStr">
        <is>
          <t>Moi</t>
        </is>
      </c>
      <c r="H13" t="n">
        <v>35</v>
      </c>
      <c r="I13" t="n">
        <v>5</v>
      </c>
      <c r="J13">
        <f>H13-I13</f>
        <v/>
      </c>
      <c r="K13" s="6">
        <f>IF(H13&gt;0, I13/H13, 0)</f>
        <v/>
      </c>
    </row>
    <row r="14">
      <c r="A14" t="n">
        <v>13</v>
      </c>
      <c r="B14" t="inlineStr">
        <is>
          <t>Frontoffice</t>
        </is>
      </c>
      <c r="C14" t="inlineStr">
        <is>
          <t>Orders</t>
        </is>
      </c>
      <c r="D14" t="inlineStr">
        <is>
          <t>MyOrder</t>
        </is>
      </c>
      <c r="E14" t="inlineStr">
        <is>
          <t>Historique des commandes client</t>
        </is>
      </c>
      <c r="F14" t="inlineStr">
        <is>
          <t>Affichage</t>
        </is>
      </c>
      <c r="G14" t="inlineStr">
        <is>
          <t>Moi</t>
        </is>
      </c>
      <c r="H14" t="n">
        <v>15</v>
      </c>
      <c r="I14" t="n">
        <v>0</v>
      </c>
      <c r="J14">
        <f>H14-I14</f>
        <v/>
      </c>
      <c r="K14" s="6">
        <f>IF(H14&gt;0, I14/H14, 0)</f>
        <v/>
      </c>
    </row>
    <row r="15">
      <c r="G15" t="inlineStr">
        <is>
          <t>TOTAL</t>
        </is>
      </c>
      <c r="H15">
        <f>SUM(H2:H14)</f>
        <v/>
      </c>
      <c r="I15">
        <f>SUM(I2:I14)</f>
        <v/>
      </c>
      <c r="J15">
        <f>SUM(J2:J14)</f>
        <v/>
      </c>
      <c r="K15" s="6">
        <f>I15/H15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2026-05-17T21:32:33Z</dcterms:created>
  <dcterms:modified xsi:type="dcterms:W3CDTF">2026-05-17T21:32:33Z</dcterms:modified>
</cp:coreProperties>
</file>