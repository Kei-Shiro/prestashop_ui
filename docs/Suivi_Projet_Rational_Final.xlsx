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tude\Projet\Evaluation\prestashop_ui\docs\"/>
    </mc:Choice>
  </mc:AlternateContent>
  <xr:revisionPtr revIDLastSave="0" documentId="13_ncr:1_{CA5DD23C-803C-4337-BDAF-5E434C1E7C8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cap" sheetId="1" r:id="rId1"/>
    <sheet name="Avancement" sheetId="2" r:id="rId2"/>
    <sheet name="Liste des taches" sheetId="3" r:id="rId3"/>
    <sheet name="Detail Avance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2" i="3"/>
  <c r="I3" i="4"/>
  <c r="I4" i="4"/>
  <c r="I5" i="4"/>
  <c r="K5" i="4" s="1"/>
  <c r="I6" i="4"/>
  <c r="J6" i="4" s="1"/>
  <c r="I7" i="4"/>
  <c r="K7" i="4" s="1"/>
  <c r="I8" i="4"/>
  <c r="K8" i="4" s="1"/>
  <c r="I9" i="4"/>
  <c r="I10" i="4"/>
  <c r="J10" i="4" s="1"/>
  <c r="I11" i="4"/>
  <c r="K11" i="4" s="1"/>
  <c r="I12" i="4"/>
  <c r="K12" i="4" s="1"/>
  <c r="I13" i="4"/>
  <c r="K13" i="4" s="1"/>
  <c r="I14" i="4"/>
  <c r="K14" i="4" s="1"/>
  <c r="I15" i="4"/>
  <c r="I16" i="4"/>
  <c r="K16" i="4" s="1"/>
  <c r="I17" i="4"/>
  <c r="K17" i="4" s="1"/>
  <c r="I18" i="4"/>
  <c r="J18" i="4" s="1"/>
  <c r="I19" i="4"/>
  <c r="I20" i="4"/>
  <c r="I21" i="4"/>
  <c r="I22" i="4"/>
  <c r="I23" i="4"/>
  <c r="K23" i="4" s="1"/>
  <c r="I24" i="4"/>
  <c r="K24" i="4" s="1"/>
  <c r="I25" i="4"/>
  <c r="K25" i="4" s="1"/>
  <c r="I26" i="4"/>
  <c r="K26" i="4" s="1"/>
  <c r="I27" i="4"/>
  <c r="K27" i="4" s="1"/>
  <c r="I28" i="4"/>
  <c r="K28" i="4" s="1"/>
  <c r="I29" i="4"/>
  <c r="I30" i="4"/>
  <c r="I31" i="4"/>
  <c r="I32" i="4"/>
  <c r="I33" i="4"/>
  <c r="I34" i="4"/>
  <c r="I35" i="4"/>
  <c r="J35" i="4" s="1"/>
  <c r="I36" i="4"/>
  <c r="K36" i="4" s="1"/>
  <c r="I37" i="4"/>
  <c r="K37" i="4" s="1"/>
  <c r="I38" i="4"/>
  <c r="K38" i="4" s="1"/>
  <c r="I39" i="4"/>
  <c r="I40" i="4"/>
  <c r="I41" i="4"/>
  <c r="I42" i="4"/>
  <c r="I43" i="4"/>
  <c r="I44" i="4"/>
  <c r="J44" i="4" s="1"/>
  <c r="I45" i="4"/>
  <c r="I46" i="4"/>
  <c r="I47" i="4"/>
  <c r="J47" i="4" s="1"/>
  <c r="I48" i="4"/>
  <c r="K48" i="4" s="1"/>
  <c r="I49" i="4"/>
  <c r="K49" i="4" s="1"/>
  <c r="I50" i="4"/>
  <c r="K50" i="4" s="1"/>
  <c r="I51" i="4"/>
  <c r="I52" i="4"/>
  <c r="K52" i="4" s="1"/>
  <c r="I2" i="4"/>
  <c r="K2" i="4" s="1"/>
  <c r="H53" i="4"/>
  <c r="B2" i="1" s="1"/>
  <c r="B3" i="1" s="1"/>
  <c r="A2" i="2" s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" i="4"/>
  <c r="A6" i="4" s="1"/>
  <c r="A4" i="4"/>
  <c r="A2" i="4"/>
  <c r="J52" i="4"/>
  <c r="K51" i="4"/>
  <c r="J51" i="4"/>
  <c r="K46" i="4"/>
  <c r="J46" i="4"/>
  <c r="K45" i="4"/>
  <c r="J45" i="4"/>
  <c r="K44" i="4"/>
  <c r="K43" i="4"/>
  <c r="J43" i="4"/>
  <c r="K42" i="4"/>
  <c r="J42" i="4"/>
  <c r="K41" i="4"/>
  <c r="J41" i="4"/>
  <c r="K40" i="4"/>
  <c r="J40" i="4"/>
  <c r="K39" i="4"/>
  <c r="J39" i="4"/>
  <c r="K34" i="4"/>
  <c r="J34" i="4"/>
  <c r="K33" i="4"/>
  <c r="J33" i="4"/>
  <c r="K32" i="4"/>
  <c r="J32" i="4"/>
  <c r="K31" i="4"/>
  <c r="J31" i="4"/>
  <c r="K30" i="4"/>
  <c r="J30" i="4"/>
  <c r="K29" i="4"/>
  <c r="J29" i="4"/>
  <c r="K22" i="4"/>
  <c r="J22" i="4"/>
  <c r="K21" i="4"/>
  <c r="J21" i="4"/>
  <c r="K20" i="4"/>
  <c r="J20" i="4"/>
  <c r="K19" i="4"/>
  <c r="J19" i="4"/>
  <c r="K18" i="4"/>
  <c r="J16" i="4"/>
  <c r="K15" i="4"/>
  <c r="J15" i="4"/>
  <c r="K10" i="4"/>
  <c r="K9" i="4"/>
  <c r="J9" i="4"/>
  <c r="K6" i="4"/>
  <c r="J5" i="4"/>
  <c r="K4" i="4"/>
  <c r="J4" i="4"/>
  <c r="K3" i="4"/>
  <c r="J3" i="4"/>
  <c r="J2" i="4"/>
  <c r="J28" i="4" l="1"/>
  <c r="J27" i="4"/>
  <c r="J17" i="4"/>
  <c r="J7" i="4"/>
  <c r="J8" i="4"/>
  <c r="K47" i="4"/>
  <c r="J23" i="4"/>
  <c r="K35" i="4"/>
  <c r="J12" i="4"/>
  <c r="J24" i="4"/>
  <c r="J36" i="4"/>
  <c r="J48" i="4"/>
  <c r="J11" i="4"/>
  <c r="J13" i="4"/>
  <c r="J25" i="4"/>
  <c r="J37" i="4"/>
  <c r="J49" i="4"/>
  <c r="J14" i="4"/>
  <c r="J26" i="4"/>
  <c r="J38" i="4"/>
  <c r="J50" i="4"/>
  <c r="I53" i="4"/>
  <c r="K53" i="4" s="1"/>
  <c r="C2" i="1" l="1"/>
  <c r="C3" i="1" s="1"/>
  <c r="B2" i="2" s="1"/>
  <c r="J53" i="4"/>
  <c r="D2" i="1" s="1"/>
  <c r="D3" i="1" s="1"/>
  <c r="C2" i="2" s="1"/>
  <c r="B5" i="1"/>
  <c r="D2" i="2" s="1"/>
</calcChain>
</file>

<file path=xl/sharedStrings.xml><?xml version="1.0" encoding="utf-8"?>
<sst xmlns="http://schemas.openxmlformats.org/spreadsheetml/2006/main" count="333" uniqueCount="125">
  <si>
    <t>Qui</t>
  </si>
  <si>
    <t>SUM de Estimation</t>
  </si>
  <si>
    <t>SUM de Temps passé</t>
  </si>
  <si>
    <t>SUM de Reste à faire</t>
  </si>
  <si>
    <t>Moi</t>
  </si>
  <si>
    <t>Total général</t>
  </si>
  <si>
    <t>Avancement</t>
  </si>
  <si>
    <t>estimation total</t>
  </si>
  <si>
    <t>temps passé total</t>
  </si>
  <si>
    <t>reste à faire total</t>
  </si>
  <si>
    <t>avancement</t>
  </si>
  <si>
    <t>dépassement</t>
  </si>
  <si>
    <t>0%</t>
  </si>
  <si>
    <t>Ligne</t>
  </si>
  <si>
    <t>Total</t>
  </si>
  <si>
    <t>Catégorie</t>
  </si>
  <si>
    <t>Module</t>
  </si>
  <si>
    <t>Page</t>
  </si>
  <si>
    <t>Description tâche</t>
  </si>
  <si>
    <t>Type</t>
  </si>
  <si>
    <t>Estimation (min)</t>
  </si>
  <si>
    <t>Temps passé (min)</t>
  </si>
  <si>
    <t>Reste à faire (min)</t>
  </si>
  <si>
    <t>Setup</t>
  </si>
  <si>
    <t>-</t>
  </si>
  <si>
    <t>Base</t>
  </si>
  <si>
    <t>Config</t>
  </si>
  <si>
    <t>Configuration des environnements (.env.back, .env.front)</t>
  </si>
  <si>
    <t>Shared</t>
  </si>
  <si>
    <t>API</t>
  </si>
  <si>
    <t>Implémentation du client Axios intercepté pour PrestaShop</t>
  </si>
  <si>
    <t>Infrastructure</t>
  </si>
  <si>
    <t>XML</t>
  </si>
  <si>
    <t>Développement du Serializer JS vers XML (PrestaShop Format)</t>
  </si>
  <si>
    <t>Configuration de fast-xml-parser pour les réponses API</t>
  </si>
  <si>
    <t>Utils</t>
  </si>
  <si>
    <t>Utilitaire extractIdValue pour gestion xlink:href</t>
  </si>
  <si>
    <t>Utilitaire extractLanguageValue pour champs multilingues</t>
  </si>
  <si>
    <t>Backoffice</t>
  </si>
  <si>
    <t>Auth</t>
  </si>
  <si>
    <t>Login</t>
  </si>
  <si>
    <t>Structure HTML/CSS du formulaire de login</t>
  </si>
  <si>
    <t>Affichage</t>
  </si>
  <si>
    <t>Valeurs par défaut Admin (Email/Pass) en dev</t>
  </si>
  <si>
    <t>Store</t>
  </si>
  <si>
    <t>Implémentation de adminAuthStore (Pinia)</t>
  </si>
  <si>
    <t>Métier</t>
  </si>
  <si>
    <t>Router</t>
  </si>
  <si>
    <t>Guard</t>
  </si>
  <si>
    <t>Protection des routes par navigation guard</t>
  </si>
  <si>
    <t>Intégration</t>
  </si>
  <si>
    <t>Import</t>
  </si>
  <si>
    <t>ImportPage</t>
  </si>
  <si>
    <t>UI de téléversement Drag&amp;Drop pour 4 fichiers</t>
  </si>
  <si>
    <t>Validator</t>
  </si>
  <si>
    <t>Vérification de conformité des noms de colonnes</t>
  </si>
  <si>
    <t>Validation stricte format date DD/MM/YYYY</t>
  </si>
  <si>
    <t>Contrôle des montants (prix_ttc &gt; 0)</t>
  </si>
  <si>
    <t>Service</t>
  </si>
  <si>
    <t>Phase 1 : Création dynamique des taxes (Spec 1)</t>
  </si>
  <si>
    <t>Phase 2 : Mapping et création des catégories</t>
  </si>
  <si>
    <t>Phase 3 : Importation massive des produits simples</t>
  </si>
  <si>
    <t>Phase 4 : Création des options (spécificités)</t>
  </si>
  <si>
    <t>Phase 5 : Création des valeurs d'options</t>
  </si>
  <si>
    <t>Phase 6 : Création des combinaisons (Spec 2)</t>
  </si>
  <si>
    <t>Phase 7 : Mise à jour initiale des stocks (PUT)</t>
  </si>
  <si>
    <t>Phase 8 : Import des clients (passwd auto-hash)</t>
  </si>
  <si>
    <t>Phase 9 : Création des adresses clients</t>
  </si>
  <si>
    <t>Phase 10 : Création des paniers (Carts)</t>
  </si>
  <si>
    <t>Phase 11 : Ajout des lignes paniers complexes</t>
  </si>
  <si>
    <t>Phase 12 : Conversion panier en commande (Spec 3)</t>
  </si>
  <si>
    <t>Phase 13 : Upload et liaison des images ZIP (Spec 4)</t>
  </si>
  <si>
    <t>Dashboard</t>
  </si>
  <si>
    <t>Stats</t>
  </si>
  <si>
    <t>Graphique journalier du volume de commandes</t>
  </si>
  <si>
    <t>Indicateur montant total journalier</t>
  </si>
  <si>
    <t>Calcul du Total Général (toutes commandes)</t>
  </si>
  <si>
    <t>Orders</t>
  </si>
  <si>
    <t>List</t>
  </si>
  <si>
    <t>Tableau de gestion des commandes importées</t>
  </si>
  <si>
    <t>Status</t>
  </si>
  <si>
    <t>Boutons de changement d'état (Paiement effectué)</t>
  </si>
  <si>
    <t>Bouton d'annulation de commande</t>
  </si>
  <si>
    <t>Stock</t>
  </si>
  <si>
    <t>Update</t>
  </si>
  <si>
    <t>Interface d'ajout manuel de stock par produit</t>
  </si>
  <si>
    <t>Graph</t>
  </si>
  <si>
    <t>Tableau d'évolution journalière des stocks</t>
  </si>
  <si>
    <t>Reset</t>
  </si>
  <si>
    <t>ResetPage</t>
  </si>
  <si>
    <t>Implémentation de la purge complète des données</t>
  </si>
  <si>
    <t>Frontoffice</t>
  </si>
  <si>
    <t>User</t>
  </si>
  <si>
    <t>Selection</t>
  </si>
  <si>
    <t>Page de sélection d'utilisateur au démarrage</t>
  </si>
  <si>
    <t>Option de connexion "Utilisateur Anonyme"</t>
  </si>
  <si>
    <t>Shop</t>
  </si>
  <si>
    <t>Catalog</t>
  </si>
  <si>
    <t>Grille de produits avec images PrestaShop</t>
  </si>
  <si>
    <t>Badges</t>
  </si>
  <si>
    <t>Logique badge HOT (date_availability &lt; 1j)</t>
  </si>
  <si>
    <t>Logique badge NEW (date_availability &lt; 7j)</t>
  </si>
  <si>
    <t>Search</t>
  </si>
  <si>
    <t>Recherche multicritère par Nom</t>
  </si>
  <si>
    <t>Detail</t>
  </si>
  <si>
    <t>Product</t>
  </si>
  <si>
    <t>Affichage dynamique prix/déclinaison</t>
  </si>
  <si>
    <t>Affichage quantité réelle en stock (PrestaShop)</t>
  </si>
  <si>
    <t>Cart</t>
  </si>
  <si>
    <t>State management du panier avec persistance</t>
  </si>
  <si>
    <t>Checkout</t>
  </si>
  <si>
    <t>Workflow</t>
  </si>
  <si>
    <t>Validation du panier et création Cart API</t>
  </si>
  <si>
    <t>Option unique "Paiement à la livraison"</t>
  </si>
  <si>
    <t>Success</t>
  </si>
  <si>
    <t>Page de confirmation de commande</t>
  </si>
  <si>
    <t>MyOrder</t>
  </si>
  <si>
    <t>Historique des commandes pour l'utilisateur</t>
  </si>
  <si>
    <t>Integration</t>
  </si>
  <si>
    <t>PrestaShop</t>
  </si>
  <si>
    <t>Création endpoint PHP personnalisé (updateQuantity)</t>
  </si>
  <si>
    <t>Validation</t>
  </si>
  <si>
    <t>QA</t>
  </si>
  <si>
    <t>Validation finale du workflow client complet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</si>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</sst>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9BC2E6"/>
        <b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10" fontId="0" fillId="4" borderId="0" xfId="0" applyNumberFormat="1" applyFill="1"/>
    <xf numFmtId="0" fontId="1" fillId="5" borderId="0" xfId="0" applyFont="1" applyFill="1"/>
    <xf numFmtId="10" fontId="0" fillId="0" borderId="0" xfId="0" applyNumberFormat="1"/>
    <xf numFmtId="0" fontId="1" fillId="2" borderId="0" xfId="0" applyFont="1" applyFill="1"/>
    <xf numFmtId="16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4.4" x14ac:dyDescent="0.3"/>
  <cols>
    <col min="1" max="1" width="15.5546875" customWidth="1"/>
    <col min="2" max="2" width="15.77734375" customWidth="1"/>
    <col min="3" max="3" width="24.6640625" customWidth="1"/>
    <col min="4" max="4" width="23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f>'Detail Avancement'!H53</f>
        <v>5290</v>
      </c>
      <c r="C2">
        <f>'Detail Avancement'!I53</f>
        <v>5290</v>
      </c>
      <c r="D2">
        <f>'Detail Avancement'!J53</f>
        <v>0</v>
      </c>
    </row>
    <row r="3" spans="1:4" x14ac:dyDescent="0.3">
      <c r="A3" s="2" t="s">
        <v>5</v>
      </c>
      <c r="B3" s="2">
        <f>B2</f>
        <v>5290</v>
      </c>
      <c r="C3" s="2">
        <f>C2</f>
        <v>5290</v>
      </c>
      <c r="D3" s="2">
        <f>D2</f>
        <v>0</v>
      </c>
    </row>
    <row r="5" spans="1:4" x14ac:dyDescent="0.3">
      <c r="A5" s="3" t="s">
        <v>6</v>
      </c>
      <c r="B5" s="4">
        <f>C3/B3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A7" sqref="A7"/>
    </sheetView>
  </sheetViews>
  <sheetFormatPr defaultRowHeight="14.4" x14ac:dyDescent="0.3"/>
  <cols>
    <col min="1" max="1" width="17.77734375" customWidth="1"/>
    <col min="2" max="2" width="18.77734375" customWidth="1"/>
    <col min="3" max="3" width="20.44140625" customWidth="1"/>
    <col min="4" max="4" width="15.88671875" customWidth="1"/>
    <col min="5" max="5" width="16.33203125" customWidth="1"/>
  </cols>
  <sheetData>
    <row r="1" spans="1:5" x14ac:dyDescent="0.3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</row>
    <row r="2" spans="1:5" x14ac:dyDescent="0.3">
      <c r="A2">
        <f>Recap!B3</f>
        <v>5290</v>
      </c>
      <c r="B2">
        <f>Recap!C3</f>
        <v>5290</v>
      </c>
      <c r="C2">
        <f>Recap!D3</f>
        <v>0</v>
      </c>
      <c r="D2" s="6">
        <f>Recap!B5</f>
        <v>1</v>
      </c>
      <c r="E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tabSelected="1" topLeftCell="A25" zoomScaleNormal="100" workbookViewId="0">
      <selection activeCell="I50" sqref="I50"/>
    </sheetView>
  </sheetViews>
  <sheetFormatPr defaultRowHeight="14.4" x14ac:dyDescent="0.3"/>
  <sheetData>
    <row r="1" spans="1:8" x14ac:dyDescent="0.3">
      <c r="A1" s="5" t="s">
        <v>13</v>
      </c>
      <c r="B1" s="5" t="s">
        <v>14</v>
      </c>
      <c r="C1" s="8">
        <v>46154</v>
      </c>
      <c r="D1" s="8">
        <v>46155</v>
      </c>
      <c r="E1" s="8">
        <v>46156</v>
      </c>
      <c r="F1" s="8">
        <v>46157</v>
      </c>
      <c r="G1" s="8">
        <v>46158</v>
      </c>
      <c r="H1" s="8">
        <v>46159</v>
      </c>
    </row>
    <row r="2" spans="1:8" x14ac:dyDescent="0.3">
      <c r="A2">
        <v>1</v>
      </c>
      <c r="B2">
        <f>'Detail Avancement'!H2</f>
        <v>20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2</v>
      </c>
      <c r="B3">
        <f>'Detail Avancement'!H3</f>
        <v>20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>
        <v>3</v>
      </c>
      <c r="B4">
        <f>'Detail Avancement'!H4</f>
        <v>40</v>
      </c>
      <c r="C4">
        <v>40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4</v>
      </c>
      <c r="B5">
        <f>'Detail Avancement'!H5</f>
        <v>20</v>
      </c>
      <c r="C5">
        <v>20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5</v>
      </c>
      <c r="B6">
        <f>'Detail Avancement'!H6</f>
        <v>15</v>
      </c>
      <c r="C6">
        <v>15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6</v>
      </c>
      <c r="B7">
        <f>'Detail Avancement'!H7</f>
        <v>25</v>
      </c>
      <c r="C7">
        <v>25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>
        <v>7</v>
      </c>
      <c r="B8">
        <f>'Detail Avancement'!H8</f>
        <v>30</v>
      </c>
      <c r="C8">
        <v>0</v>
      </c>
      <c r="D8">
        <v>30</v>
      </c>
      <c r="E8">
        <v>0</v>
      </c>
      <c r="F8">
        <v>0</v>
      </c>
      <c r="G8">
        <v>0</v>
      </c>
      <c r="H8">
        <v>0</v>
      </c>
    </row>
    <row r="9" spans="1:8" x14ac:dyDescent="0.3">
      <c r="A9">
        <v>8</v>
      </c>
      <c r="B9">
        <f>'Detail Avancement'!H9</f>
        <v>30</v>
      </c>
      <c r="C9">
        <v>0</v>
      </c>
      <c r="D9">
        <v>30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9</v>
      </c>
      <c r="B10">
        <f>'Detail Avancement'!H10</f>
        <v>60</v>
      </c>
      <c r="C10">
        <v>0</v>
      </c>
      <c r="D10">
        <v>60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10</v>
      </c>
      <c r="B11">
        <f>'Detail Avancement'!H11</f>
        <v>40</v>
      </c>
      <c r="C11">
        <v>0</v>
      </c>
      <c r="D11">
        <v>40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11</v>
      </c>
      <c r="B12">
        <f>'Detail Avancement'!H12</f>
        <v>80</v>
      </c>
      <c r="C12">
        <v>0</v>
      </c>
      <c r="D12">
        <v>0</v>
      </c>
      <c r="E12">
        <v>80</v>
      </c>
      <c r="F12">
        <v>0</v>
      </c>
      <c r="G12">
        <v>0</v>
      </c>
      <c r="H12">
        <v>0</v>
      </c>
    </row>
    <row r="13" spans="1:8" x14ac:dyDescent="0.3">
      <c r="A13">
        <v>12</v>
      </c>
      <c r="B13">
        <f>'Detail Avancement'!H13</f>
        <v>20</v>
      </c>
      <c r="C13">
        <v>0</v>
      </c>
      <c r="D13">
        <v>0</v>
      </c>
      <c r="E13">
        <v>20</v>
      </c>
      <c r="F13">
        <v>0</v>
      </c>
      <c r="G13">
        <v>0</v>
      </c>
      <c r="H13">
        <v>0</v>
      </c>
    </row>
    <row r="14" spans="1:8" x14ac:dyDescent="0.3">
      <c r="A14">
        <v>13</v>
      </c>
      <c r="B14">
        <f>'Detail Avancement'!H14</f>
        <v>90</v>
      </c>
      <c r="C14">
        <v>0</v>
      </c>
      <c r="D14">
        <v>0</v>
      </c>
      <c r="E14">
        <v>60</v>
      </c>
      <c r="F14">
        <v>30</v>
      </c>
      <c r="G14">
        <v>0</v>
      </c>
      <c r="H14">
        <v>0</v>
      </c>
    </row>
    <row r="15" spans="1:8" x14ac:dyDescent="0.3">
      <c r="A15">
        <v>14</v>
      </c>
      <c r="B15">
        <f>'Detail Avancement'!H15</f>
        <v>60</v>
      </c>
      <c r="C15">
        <v>0</v>
      </c>
      <c r="D15">
        <v>0</v>
      </c>
      <c r="E15">
        <v>0</v>
      </c>
      <c r="F15">
        <v>60</v>
      </c>
      <c r="G15">
        <v>0</v>
      </c>
      <c r="H15">
        <v>0</v>
      </c>
    </row>
    <row r="16" spans="1:8" x14ac:dyDescent="0.3">
      <c r="A16">
        <v>15</v>
      </c>
      <c r="B16">
        <f>'Detail Avancement'!H16</f>
        <v>120</v>
      </c>
      <c r="C16">
        <v>0</v>
      </c>
      <c r="D16">
        <v>0</v>
      </c>
      <c r="E16">
        <v>0</v>
      </c>
      <c r="F16">
        <v>60</v>
      </c>
      <c r="G16">
        <v>60</v>
      </c>
      <c r="H16">
        <v>0</v>
      </c>
    </row>
    <row r="17" spans="1:8" x14ac:dyDescent="0.3">
      <c r="A17">
        <v>16</v>
      </c>
      <c r="B17">
        <f>'Detail Avancement'!H17</f>
        <v>80</v>
      </c>
      <c r="C17">
        <v>0</v>
      </c>
      <c r="D17">
        <v>0</v>
      </c>
      <c r="E17">
        <v>0</v>
      </c>
      <c r="F17">
        <v>45</v>
      </c>
      <c r="G17">
        <v>35</v>
      </c>
      <c r="H17">
        <v>0</v>
      </c>
    </row>
    <row r="18" spans="1:8" x14ac:dyDescent="0.3">
      <c r="A18">
        <v>17</v>
      </c>
      <c r="B18">
        <f>'Detail Avancement'!H18</f>
        <v>100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</row>
    <row r="19" spans="1:8" x14ac:dyDescent="0.3">
      <c r="A19">
        <v>18</v>
      </c>
      <c r="B19">
        <f>'Detail Avancement'!H19</f>
        <v>120</v>
      </c>
      <c r="C19">
        <v>0</v>
      </c>
      <c r="D19">
        <v>0</v>
      </c>
      <c r="E19">
        <v>120</v>
      </c>
      <c r="F19">
        <v>0</v>
      </c>
      <c r="G19">
        <v>0</v>
      </c>
      <c r="H19">
        <v>0</v>
      </c>
    </row>
    <row r="20" spans="1:8" x14ac:dyDescent="0.3">
      <c r="A20">
        <v>19</v>
      </c>
      <c r="B20">
        <f>'Detail Avancement'!H20</f>
        <v>120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20</v>
      </c>
      <c r="B21">
        <f>'Detail Avancement'!H21</f>
        <v>180</v>
      </c>
      <c r="C21">
        <v>0</v>
      </c>
      <c r="D21">
        <v>0</v>
      </c>
      <c r="E21">
        <v>180</v>
      </c>
      <c r="F21">
        <v>0</v>
      </c>
      <c r="G21">
        <v>0</v>
      </c>
      <c r="H21">
        <v>0</v>
      </c>
    </row>
    <row r="22" spans="1:8" x14ac:dyDescent="0.3">
      <c r="A22">
        <v>21</v>
      </c>
      <c r="B22">
        <f>'Detail Avancement'!H22</f>
        <v>150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22</v>
      </c>
      <c r="B23">
        <f>'Detail Avancement'!H23</f>
        <v>240</v>
      </c>
      <c r="C23">
        <v>0</v>
      </c>
      <c r="D23">
        <v>0</v>
      </c>
      <c r="E23">
        <v>120</v>
      </c>
      <c r="F23">
        <v>0</v>
      </c>
      <c r="G23">
        <v>120</v>
      </c>
      <c r="H23">
        <v>0</v>
      </c>
    </row>
    <row r="24" spans="1:8" x14ac:dyDescent="0.3">
      <c r="A24">
        <v>23</v>
      </c>
      <c r="B24">
        <f>'Detail Avancement'!H24</f>
        <v>150</v>
      </c>
      <c r="C24">
        <v>0</v>
      </c>
      <c r="D24">
        <v>0</v>
      </c>
      <c r="E24">
        <v>0</v>
      </c>
      <c r="F24">
        <v>0</v>
      </c>
      <c r="G24">
        <v>150</v>
      </c>
      <c r="H24">
        <v>0</v>
      </c>
    </row>
    <row r="25" spans="1:8" x14ac:dyDescent="0.3">
      <c r="A25">
        <v>24</v>
      </c>
      <c r="B25">
        <f>'Detail Avancement'!H25</f>
        <v>180</v>
      </c>
      <c r="C25">
        <v>0</v>
      </c>
      <c r="D25">
        <v>0</v>
      </c>
      <c r="E25">
        <v>150</v>
      </c>
      <c r="F25">
        <v>30</v>
      </c>
      <c r="G25">
        <v>0</v>
      </c>
      <c r="H25">
        <v>0</v>
      </c>
    </row>
    <row r="26" spans="1:8" x14ac:dyDescent="0.3">
      <c r="A26">
        <v>25</v>
      </c>
      <c r="B26">
        <f>'Detail Avancement'!H26</f>
        <v>240</v>
      </c>
      <c r="C26">
        <v>0</v>
      </c>
      <c r="D26">
        <v>0</v>
      </c>
      <c r="E26">
        <v>0</v>
      </c>
      <c r="F26">
        <v>240</v>
      </c>
      <c r="G26">
        <v>0</v>
      </c>
      <c r="H26">
        <v>0</v>
      </c>
    </row>
    <row r="27" spans="1:8" x14ac:dyDescent="0.3">
      <c r="A27">
        <v>26</v>
      </c>
      <c r="B27">
        <f>'Detail Avancement'!H27</f>
        <v>100</v>
      </c>
      <c r="C27">
        <v>0</v>
      </c>
      <c r="D27">
        <v>0</v>
      </c>
      <c r="E27">
        <v>0</v>
      </c>
      <c r="F27">
        <v>0</v>
      </c>
      <c r="G27">
        <v>100</v>
      </c>
      <c r="H27">
        <v>0</v>
      </c>
    </row>
    <row r="28" spans="1:8" x14ac:dyDescent="0.3">
      <c r="A28">
        <v>27</v>
      </c>
      <c r="B28">
        <f>'Detail Avancement'!H28</f>
        <v>100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</row>
    <row r="29" spans="1:8" x14ac:dyDescent="0.3">
      <c r="A29">
        <v>28</v>
      </c>
      <c r="B29">
        <f>'Detail Avancement'!H29</f>
        <v>180</v>
      </c>
      <c r="C29">
        <v>0</v>
      </c>
      <c r="D29">
        <v>0</v>
      </c>
      <c r="E29">
        <v>0</v>
      </c>
      <c r="F29">
        <v>0</v>
      </c>
      <c r="G29">
        <v>100</v>
      </c>
      <c r="H29">
        <v>80</v>
      </c>
    </row>
    <row r="30" spans="1:8" x14ac:dyDescent="0.3">
      <c r="A30">
        <v>29</v>
      </c>
      <c r="B30">
        <f>'Detail Avancement'!H30</f>
        <v>90</v>
      </c>
      <c r="C30">
        <v>0</v>
      </c>
      <c r="D30">
        <v>0</v>
      </c>
      <c r="E30">
        <v>0</v>
      </c>
      <c r="F30">
        <v>90</v>
      </c>
      <c r="G30">
        <v>0</v>
      </c>
      <c r="H30">
        <v>0</v>
      </c>
    </row>
    <row r="31" spans="1:8" x14ac:dyDescent="0.3">
      <c r="A31">
        <v>30</v>
      </c>
      <c r="B31">
        <f>'Detail Avancement'!H31</f>
        <v>60</v>
      </c>
      <c r="C31">
        <v>0</v>
      </c>
      <c r="D31">
        <v>0</v>
      </c>
      <c r="E31">
        <v>0</v>
      </c>
      <c r="F31">
        <v>0</v>
      </c>
      <c r="G31">
        <v>60</v>
      </c>
      <c r="H31">
        <v>0</v>
      </c>
    </row>
    <row r="32" spans="1:8" x14ac:dyDescent="0.3">
      <c r="A32">
        <v>31</v>
      </c>
      <c r="B32">
        <f>'Detail Avancement'!H32</f>
        <v>150</v>
      </c>
      <c r="C32">
        <v>0</v>
      </c>
      <c r="D32">
        <v>0</v>
      </c>
      <c r="E32">
        <v>0</v>
      </c>
      <c r="F32">
        <v>150</v>
      </c>
      <c r="G32">
        <v>0</v>
      </c>
      <c r="H32">
        <v>0</v>
      </c>
    </row>
    <row r="33" spans="1:8" x14ac:dyDescent="0.3">
      <c r="A33">
        <v>32</v>
      </c>
      <c r="B33">
        <f>'Detail Avancement'!H33</f>
        <v>120</v>
      </c>
      <c r="C33">
        <v>0</v>
      </c>
      <c r="D33">
        <v>0</v>
      </c>
      <c r="E33">
        <v>0</v>
      </c>
      <c r="F33">
        <v>0</v>
      </c>
      <c r="G33">
        <v>120</v>
      </c>
      <c r="H33">
        <v>0</v>
      </c>
    </row>
    <row r="34" spans="1:8" x14ac:dyDescent="0.3">
      <c r="A34">
        <v>33</v>
      </c>
      <c r="B34">
        <f>'Detail Avancement'!H34</f>
        <v>60</v>
      </c>
      <c r="C34">
        <v>0</v>
      </c>
      <c r="D34">
        <v>0</v>
      </c>
      <c r="E34">
        <v>0</v>
      </c>
      <c r="F34">
        <v>0</v>
      </c>
      <c r="G34">
        <v>60</v>
      </c>
      <c r="H34">
        <v>0</v>
      </c>
    </row>
    <row r="35" spans="1:8" x14ac:dyDescent="0.3">
      <c r="A35">
        <v>34</v>
      </c>
      <c r="B35">
        <f>'Detail Avancement'!H35</f>
        <v>150</v>
      </c>
      <c r="C35">
        <v>0</v>
      </c>
      <c r="D35">
        <v>60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35</v>
      </c>
      <c r="B36">
        <f>'Detail Avancement'!H36</f>
        <v>180</v>
      </c>
      <c r="C36">
        <v>0</v>
      </c>
      <c r="D36">
        <v>0</v>
      </c>
      <c r="E36">
        <v>150</v>
      </c>
      <c r="F36">
        <v>30</v>
      </c>
      <c r="G36">
        <v>0</v>
      </c>
      <c r="H36">
        <v>0</v>
      </c>
    </row>
    <row r="37" spans="1:8" x14ac:dyDescent="0.3">
      <c r="A37">
        <v>36</v>
      </c>
      <c r="B37">
        <f>'Detail Avancement'!H37</f>
        <v>180</v>
      </c>
      <c r="C37">
        <v>0</v>
      </c>
      <c r="D37">
        <v>0</v>
      </c>
      <c r="E37">
        <v>0</v>
      </c>
      <c r="F37">
        <v>180</v>
      </c>
      <c r="G37">
        <v>0</v>
      </c>
      <c r="H37">
        <v>0</v>
      </c>
    </row>
    <row r="38" spans="1:8" x14ac:dyDescent="0.3">
      <c r="A38">
        <v>37</v>
      </c>
      <c r="B38">
        <f>'Detail Avancement'!H38</f>
        <v>120</v>
      </c>
      <c r="C38">
        <v>0</v>
      </c>
      <c r="D38">
        <v>0</v>
      </c>
      <c r="E38">
        <v>0</v>
      </c>
      <c r="F38">
        <v>60</v>
      </c>
      <c r="G38">
        <v>60</v>
      </c>
      <c r="H38">
        <v>0</v>
      </c>
    </row>
    <row r="39" spans="1:8" x14ac:dyDescent="0.3">
      <c r="A39">
        <v>38</v>
      </c>
      <c r="B39">
        <f>'Detail Avancement'!H39</f>
        <v>45</v>
      </c>
      <c r="C39">
        <v>0</v>
      </c>
      <c r="D39">
        <v>0</v>
      </c>
      <c r="E39">
        <v>0</v>
      </c>
      <c r="F39">
        <v>0</v>
      </c>
      <c r="G39">
        <v>0</v>
      </c>
      <c r="H39">
        <v>45</v>
      </c>
    </row>
    <row r="40" spans="1:8" x14ac:dyDescent="0.3">
      <c r="A40">
        <v>39</v>
      </c>
      <c r="B40">
        <f>'Detail Avancement'!H40</f>
        <v>180</v>
      </c>
      <c r="C40">
        <v>0</v>
      </c>
      <c r="D40">
        <v>0</v>
      </c>
      <c r="E40">
        <v>0</v>
      </c>
      <c r="F40">
        <v>180</v>
      </c>
      <c r="G40">
        <v>0</v>
      </c>
      <c r="H40">
        <v>0</v>
      </c>
    </row>
    <row r="41" spans="1:8" x14ac:dyDescent="0.3">
      <c r="A41">
        <v>40</v>
      </c>
      <c r="B41">
        <f>'Detail Avancement'!H41</f>
        <v>75</v>
      </c>
      <c r="C41">
        <v>0</v>
      </c>
      <c r="D41">
        <v>0</v>
      </c>
      <c r="E41">
        <v>0</v>
      </c>
      <c r="F41">
        <v>0</v>
      </c>
      <c r="G41">
        <v>75</v>
      </c>
      <c r="H41">
        <v>0</v>
      </c>
    </row>
    <row r="42" spans="1:8" x14ac:dyDescent="0.3">
      <c r="A42">
        <v>41</v>
      </c>
      <c r="B42">
        <f>'Detail Avancement'!H42</f>
        <v>60</v>
      </c>
      <c r="C42">
        <v>0</v>
      </c>
      <c r="D42">
        <v>0</v>
      </c>
      <c r="E42">
        <v>0</v>
      </c>
      <c r="F42">
        <v>0</v>
      </c>
      <c r="G42">
        <v>60</v>
      </c>
      <c r="H42">
        <v>0</v>
      </c>
    </row>
    <row r="43" spans="1:8" x14ac:dyDescent="0.3">
      <c r="A43">
        <v>42</v>
      </c>
      <c r="B43">
        <f>'Detail Avancement'!H43</f>
        <v>120</v>
      </c>
      <c r="C43">
        <v>0</v>
      </c>
      <c r="D43">
        <v>0</v>
      </c>
      <c r="E43">
        <v>0</v>
      </c>
      <c r="F43">
        <v>0</v>
      </c>
      <c r="G43">
        <v>0</v>
      </c>
      <c r="H43">
        <v>120</v>
      </c>
    </row>
    <row r="44" spans="1:8" x14ac:dyDescent="0.3">
      <c r="A44">
        <v>43</v>
      </c>
      <c r="B44">
        <f>'Detail Avancement'!H44</f>
        <v>180</v>
      </c>
      <c r="C44">
        <v>0</v>
      </c>
      <c r="D44">
        <v>0</v>
      </c>
      <c r="E44">
        <v>0</v>
      </c>
      <c r="F44">
        <v>0</v>
      </c>
      <c r="G44">
        <v>0</v>
      </c>
      <c r="H44">
        <v>180</v>
      </c>
    </row>
    <row r="45" spans="1:8" x14ac:dyDescent="0.3">
      <c r="A45">
        <v>44</v>
      </c>
      <c r="B45">
        <f>'Detail Avancement'!H45</f>
        <v>90</v>
      </c>
      <c r="C45">
        <v>0</v>
      </c>
      <c r="D45">
        <v>0</v>
      </c>
      <c r="E45">
        <v>0</v>
      </c>
      <c r="F45">
        <v>0</v>
      </c>
      <c r="G45">
        <v>0</v>
      </c>
      <c r="H45">
        <v>90</v>
      </c>
    </row>
    <row r="46" spans="1:8" x14ac:dyDescent="0.3">
      <c r="A46">
        <v>45</v>
      </c>
      <c r="B46">
        <f>'Detail Avancement'!H46</f>
        <v>150</v>
      </c>
      <c r="C46">
        <v>0</v>
      </c>
      <c r="D46">
        <v>0</v>
      </c>
      <c r="E46">
        <v>0</v>
      </c>
      <c r="F46">
        <v>0</v>
      </c>
      <c r="G46">
        <v>60</v>
      </c>
      <c r="H46">
        <v>0</v>
      </c>
    </row>
    <row r="47" spans="1:8" x14ac:dyDescent="0.3">
      <c r="A47">
        <v>46</v>
      </c>
      <c r="B47">
        <f>'Detail Avancement'!H47</f>
        <v>240</v>
      </c>
      <c r="C47">
        <v>0</v>
      </c>
      <c r="D47">
        <v>0</v>
      </c>
      <c r="E47">
        <v>0</v>
      </c>
      <c r="F47">
        <v>0</v>
      </c>
      <c r="G47">
        <v>120</v>
      </c>
      <c r="H47">
        <v>120</v>
      </c>
    </row>
    <row r="48" spans="1:8" x14ac:dyDescent="0.3">
      <c r="A48">
        <v>47</v>
      </c>
      <c r="B48">
        <f>'Detail Avancement'!H48</f>
        <v>60</v>
      </c>
      <c r="C48">
        <v>0</v>
      </c>
      <c r="D48">
        <v>0</v>
      </c>
      <c r="E48">
        <v>0</v>
      </c>
      <c r="F48">
        <v>0</v>
      </c>
      <c r="G48">
        <v>0</v>
      </c>
      <c r="H48">
        <v>60</v>
      </c>
    </row>
    <row r="49" spans="1:8" x14ac:dyDescent="0.3">
      <c r="A49">
        <v>48</v>
      </c>
      <c r="B49">
        <f>'Detail Avancement'!H49</f>
        <v>90</v>
      </c>
      <c r="C49">
        <v>0</v>
      </c>
      <c r="D49">
        <v>0</v>
      </c>
      <c r="E49">
        <v>0</v>
      </c>
      <c r="F49">
        <v>0</v>
      </c>
      <c r="G49">
        <v>60</v>
      </c>
      <c r="H49">
        <v>30</v>
      </c>
    </row>
    <row r="50" spans="1:8" x14ac:dyDescent="0.3">
      <c r="A50">
        <v>49</v>
      </c>
      <c r="B50">
        <f>'Detail Avancement'!H50</f>
        <v>150</v>
      </c>
      <c r="C50">
        <v>0</v>
      </c>
      <c r="D50">
        <v>0</v>
      </c>
      <c r="E50">
        <v>0</v>
      </c>
      <c r="F50">
        <v>0</v>
      </c>
      <c r="G50">
        <v>0</v>
      </c>
      <c r="H50">
        <v>150</v>
      </c>
    </row>
    <row r="51" spans="1:8" x14ac:dyDescent="0.3">
      <c r="A51">
        <v>50</v>
      </c>
      <c r="B51">
        <f>'Detail Avancement'!H51</f>
        <v>60</v>
      </c>
      <c r="C51">
        <v>0</v>
      </c>
      <c r="D51">
        <v>0</v>
      </c>
      <c r="E51">
        <v>0</v>
      </c>
      <c r="F51">
        <v>0</v>
      </c>
      <c r="G51">
        <v>0</v>
      </c>
      <c r="H51">
        <v>60</v>
      </c>
    </row>
    <row r="52" spans="1:8" x14ac:dyDescent="0.3">
      <c r="A52">
        <v>51</v>
      </c>
      <c r="B52">
        <f>'Detail Avancement'!H52</f>
        <v>70</v>
      </c>
      <c r="C52">
        <v>0</v>
      </c>
      <c r="D52">
        <v>0</v>
      </c>
      <c r="E52">
        <v>0</v>
      </c>
      <c r="F52">
        <v>0</v>
      </c>
      <c r="G52">
        <v>0</v>
      </c>
      <c r="H52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"/>
  <sheetViews>
    <sheetView workbookViewId="0">
      <selection activeCell="H43" sqref="H43"/>
    </sheetView>
  </sheetViews>
  <sheetFormatPr defaultRowHeight="14.4" x14ac:dyDescent="0.3"/>
  <cols>
    <col min="1" max="1" width="12.21875" customWidth="1"/>
    <col min="2" max="2" width="16.21875" customWidth="1"/>
    <col min="3" max="3" width="11.33203125" customWidth="1"/>
    <col min="4" max="4" width="13.88671875" customWidth="1"/>
    <col min="5" max="5" width="59.33203125" customWidth="1"/>
    <col min="6" max="6" width="18" customWidth="1"/>
    <col min="7" max="7" width="9.77734375" customWidth="1"/>
    <col min="8" max="8" width="17.33203125" customWidth="1"/>
    <col min="9" max="9" width="20.5546875" customWidth="1"/>
    <col min="10" max="10" width="17.33203125" customWidth="1"/>
    <col min="11" max="11" width="20" customWidth="1"/>
  </cols>
  <sheetData>
    <row r="1" spans="1:11" x14ac:dyDescent="0.3">
      <c r="A1" s="7" t="s">
        <v>13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0</v>
      </c>
      <c r="H1" s="7" t="s">
        <v>20</v>
      </c>
      <c r="I1" s="7" t="s">
        <v>21</v>
      </c>
      <c r="J1" s="7" t="s">
        <v>22</v>
      </c>
      <c r="K1" s="7" t="s">
        <v>6</v>
      </c>
    </row>
    <row r="2" spans="1:11" x14ac:dyDescent="0.3">
      <c r="A2">
        <f>1</f>
        <v>1</v>
      </c>
      <c r="B2" t="s">
        <v>23</v>
      </c>
      <c r="C2" t="s">
        <v>26</v>
      </c>
      <c r="D2" t="s">
        <v>24</v>
      </c>
      <c r="E2" t="s">
        <v>27</v>
      </c>
      <c r="F2" t="s">
        <v>25</v>
      </c>
      <c r="G2" t="s">
        <v>4</v>
      </c>
      <c r="H2">
        <v>20</v>
      </c>
      <c r="I2">
        <f>H2</f>
        <v>20</v>
      </c>
      <c r="J2">
        <f t="shared" ref="J2:J32" si="0">H2-I2</f>
        <v>0</v>
      </c>
      <c r="K2" s="6">
        <f t="shared" ref="K2:K32" si="1">IF(H2&gt;0, I2/H2, 0)</f>
        <v>1</v>
      </c>
    </row>
    <row r="3" spans="1:11" x14ac:dyDescent="0.3">
      <c r="A3">
        <v>2</v>
      </c>
      <c r="B3" t="s">
        <v>28</v>
      </c>
      <c r="C3" t="s">
        <v>29</v>
      </c>
      <c r="D3" t="s">
        <v>24</v>
      </c>
      <c r="E3" t="s">
        <v>30</v>
      </c>
      <c r="F3" t="s">
        <v>31</v>
      </c>
      <c r="G3" t="s">
        <v>4</v>
      </c>
      <c r="H3">
        <v>20</v>
      </c>
      <c r="I3">
        <f t="shared" ref="I3:I52" si="2">H3</f>
        <v>20</v>
      </c>
      <c r="J3">
        <f t="shared" si="0"/>
        <v>0</v>
      </c>
      <c r="K3" s="6">
        <f t="shared" si="1"/>
        <v>1</v>
      </c>
    </row>
    <row r="4" spans="1:11" x14ac:dyDescent="0.3">
      <c r="A4">
        <f>A3+1</f>
        <v>3</v>
      </c>
      <c r="B4" t="s">
        <v>28</v>
      </c>
      <c r="C4" t="s">
        <v>32</v>
      </c>
      <c r="D4" t="s">
        <v>24</v>
      </c>
      <c r="E4" t="s">
        <v>33</v>
      </c>
      <c r="F4" t="s">
        <v>31</v>
      </c>
      <c r="G4" t="s">
        <v>4</v>
      </c>
      <c r="H4">
        <v>40</v>
      </c>
      <c r="I4">
        <f t="shared" si="2"/>
        <v>40</v>
      </c>
      <c r="J4">
        <f t="shared" si="0"/>
        <v>0</v>
      </c>
      <c r="K4" s="6">
        <f t="shared" si="1"/>
        <v>1</v>
      </c>
    </row>
    <row r="5" spans="1:11" x14ac:dyDescent="0.3">
      <c r="A5">
        <f t="shared" ref="A5:A52" si="3">A4+1</f>
        <v>4</v>
      </c>
      <c r="B5" t="s">
        <v>28</v>
      </c>
      <c r="C5" t="s">
        <v>32</v>
      </c>
      <c r="D5" t="s">
        <v>24</v>
      </c>
      <c r="E5" t="s">
        <v>34</v>
      </c>
      <c r="F5" t="s">
        <v>31</v>
      </c>
      <c r="G5" t="s">
        <v>4</v>
      </c>
      <c r="H5">
        <v>20</v>
      </c>
      <c r="I5">
        <f t="shared" si="2"/>
        <v>20</v>
      </c>
      <c r="J5">
        <f t="shared" si="0"/>
        <v>0</v>
      </c>
      <c r="K5" s="6">
        <f t="shared" si="1"/>
        <v>1</v>
      </c>
    </row>
    <row r="6" spans="1:11" x14ac:dyDescent="0.3">
      <c r="A6">
        <f t="shared" si="3"/>
        <v>5</v>
      </c>
      <c r="B6" t="s">
        <v>28</v>
      </c>
      <c r="C6" t="s">
        <v>35</v>
      </c>
      <c r="D6" t="s">
        <v>24</v>
      </c>
      <c r="E6" t="s">
        <v>36</v>
      </c>
      <c r="F6" t="s">
        <v>25</v>
      </c>
      <c r="G6" t="s">
        <v>4</v>
      </c>
      <c r="H6">
        <v>15</v>
      </c>
      <c r="I6">
        <f t="shared" si="2"/>
        <v>15</v>
      </c>
      <c r="J6">
        <f t="shared" si="0"/>
        <v>0</v>
      </c>
      <c r="K6" s="6">
        <f t="shared" si="1"/>
        <v>1</v>
      </c>
    </row>
    <row r="7" spans="1:11" x14ac:dyDescent="0.3">
      <c r="A7">
        <f t="shared" si="3"/>
        <v>6</v>
      </c>
      <c r="B7" t="s">
        <v>28</v>
      </c>
      <c r="C7" t="s">
        <v>35</v>
      </c>
      <c r="D7" t="s">
        <v>24</v>
      </c>
      <c r="E7" t="s">
        <v>37</v>
      </c>
      <c r="F7" t="s">
        <v>25</v>
      </c>
      <c r="G7" t="s">
        <v>4</v>
      </c>
      <c r="H7">
        <v>25</v>
      </c>
      <c r="I7">
        <f t="shared" si="2"/>
        <v>25</v>
      </c>
      <c r="J7">
        <f t="shared" si="0"/>
        <v>0</v>
      </c>
      <c r="K7" s="6">
        <f t="shared" si="1"/>
        <v>1</v>
      </c>
    </row>
    <row r="8" spans="1:11" x14ac:dyDescent="0.3">
      <c r="A8">
        <f t="shared" si="3"/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</v>
      </c>
      <c r="H8">
        <v>30</v>
      </c>
      <c r="I8">
        <f t="shared" si="2"/>
        <v>30</v>
      </c>
      <c r="J8">
        <f t="shared" si="0"/>
        <v>0</v>
      </c>
      <c r="K8" s="6">
        <f t="shared" si="1"/>
        <v>1</v>
      </c>
    </row>
    <row r="9" spans="1:11" x14ac:dyDescent="0.3">
      <c r="A9">
        <f t="shared" si="3"/>
        <v>8</v>
      </c>
      <c r="B9" t="s">
        <v>38</v>
      </c>
      <c r="C9" t="s">
        <v>39</v>
      </c>
      <c r="D9" t="s">
        <v>40</v>
      </c>
      <c r="E9" t="s">
        <v>43</v>
      </c>
      <c r="F9" t="s">
        <v>42</v>
      </c>
      <c r="G9" t="s">
        <v>4</v>
      </c>
      <c r="H9">
        <v>30</v>
      </c>
      <c r="I9">
        <f t="shared" si="2"/>
        <v>30</v>
      </c>
      <c r="J9">
        <f t="shared" si="0"/>
        <v>0</v>
      </c>
      <c r="K9" s="6">
        <f t="shared" si="1"/>
        <v>1</v>
      </c>
    </row>
    <row r="10" spans="1:11" x14ac:dyDescent="0.3">
      <c r="A10">
        <f t="shared" si="3"/>
        <v>9</v>
      </c>
      <c r="B10" t="s">
        <v>38</v>
      </c>
      <c r="C10" t="s">
        <v>39</v>
      </c>
      <c r="D10" t="s">
        <v>44</v>
      </c>
      <c r="E10" t="s">
        <v>45</v>
      </c>
      <c r="F10" t="s">
        <v>46</v>
      </c>
      <c r="G10" t="s">
        <v>4</v>
      </c>
      <c r="H10">
        <v>60</v>
      </c>
      <c r="I10">
        <f t="shared" si="2"/>
        <v>60</v>
      </c>
      <c r="J10">
        <f t="shared" si="0"/>
        <v>0</v>
      </c>
      <c r="K10" s="6">
        <f t="shared" si="1"/>
        <v>1</v>
      </c>
    </row>
    <row r="11" spans="1:11" x14ac:dyDescent="0.3">
      <c r="A11">
        <f t="shared" si="3"/>
        <v>10</v>
      </c>
      <c r="B11" t="s">
        <v>38</v>
      </c>
      <c r="C11" t="s">
        <v>47</v>
      </c>
      <c r="D11" t="s">
        <v>48</v>
      </c>
      <c r="E11" t="s">
        <v>49</v>
      </c>
      <c r="F11" t="s">
        <v>50</v>
      </c>
      <c r="G11" t="s">
        <v>4</v>
      </c>
      <c r="H11">
        <v>40</v>
      </c>
      <c r="I11">
        <f t="shared" si="2"/>
        <v>40</v>
      </c>
      <c r="J11">
        <f t="shared" si="0"/>
        <v>0</v>
      </c>
      <c r="K11" s="6">
        <f t="shared" si="1"/>
        <v>1</v>
      </c>
    </row>
    <row r="12" spans="1:11" x14ac:dyDescent="0.3">
      <c r="A12">
        <f t="shared" si="3"/>
        <v>11</v>
      </c>
      <c r="B12" t="s">
        <v>38</v>
      </c>
      <c r="C12" t="s">
        <v>51</v>
      </c>
      <c r="D12" t="s">
        <v>52</v>
      </c>
      <c r="E12" t="s">
        <v>53</v>
      </c>
      <c r="F12" t="s">
        <v>42</v>
      </c>
      <c r="G12" t="s">
        <v>4</v>
      </c>
      <c r="H12">
        <v>80</v>
      </c>
      <c r="I12">
        <f t="shared" si="2"/>
        <v>80</v>
      </c>
      <c r="J12">
        <f t="shared" si="0"/>
        <v>0</v>
      </c>
      <c r="K12" s="6">
        <f t="shared" si="1"/>
        <v>1</v>
      </c>
    </row>
    <row r="13" spans="1:11" x14ac:dyDescent="0.3">
      <c r="A13">
        <f t="shared" si="3"/>
        <v>12</v>
      </c>
      <c r="B13" t="s">
        <v>38</v>
      </c>
      <c r="C13" t="s">
        <v>51</v>
      </c>
      <c r="D13" t="s">
        <v>54</v>
      </c>
      <c r="E13" t="s">
        <v>55</v>
      </c>
      <c r="F13" t="s">
        <v>46</v>
      </c>
      <c r="G13" t="s">
        <v>4</v>
      </c>
      <c r="H13">
        <v>20</v>
      </c>
      <c r="I13">
        <f t="shared" si="2"/>
        <v>20</v>
      </c>
      <c r="J13">
        <f t="shared" si="0"/>
        <v>0</v>
      </c>
      <c r="K13" s="6">
        <f t="shared" si="1"/>
        <v>1</v>
      </c>
    </row>
    <row r="14" spans="1:11" x14ac:dyDescent="0.3">
      <c r="A14">
        <f t="shared" si="3"/>
        <v>13</v>
      </c>
      <c r="B14" t="s">
        <v>38</v>
      </c>
      <c r="C14" t="s">
        <v>51</v>
      </c>
      <c r="D14" t="s">
        <v>54</v>
      </c>
      <c r="E14" t="s">
        <v>56</v>
      </c>
      <c r="F14" t="s">
        <v>46</v>
      </c>
      <c r="G14" t="s">
        <v>4</v>
      </c>
      <c r="H14">
        <v>90</v>
      </c>
      <c r="I14">
        <f t="shared" si="2"/>
        <v>90</v>
      </c>
      <c r="J14">
        <f t="shared" si="0"/>
        <v>0</v>
      </c>
      <c r="K14" s="6">
        <f t="shared" si="1"/>
        <v>1</v>
      </c>
    </row>
    <row r="15" spans="1:11" x14ac:dyDescent="0.3">
      <c r="A15">
        <f t="shared" si="3"/>
        <v>14</v>
      </c>
      <c r="B15" t="s">
        <v>38</v>
      </c>
      <c r="C15" t="s">
        <v>51</v>
      </c>
      <c r="D15" t="s">
        <v>54</v>
      </c>
      <c r="E15" t="s">
        <v>57</v>
      </c>
      <c r="F15" t="s">
        <v>46</v>
      </c>
      <c r="G15" t="s">
        <v>4</v>
      </c>
      <c r="H15">
        <v>60</v>
      </c>
      <c r="I15">
        <f t="shared" si="2"/>
        <v>60</v>
      </c>
      <c r="J15">
        <f t="shared" si="0"/>
        <v>0</v>
      </c>
      <c r="K15" s="6">
        <f t="shared" si="1"/>
        <v>1</v>
      </c>
    </row>
    <row r="16" spans="1:11" x14ac:dyDescent="0.3">
      <c r="A16">
        <f t="shared" si="3"/>
        <v>15</v>
      </c>
      <c r="B16" t="s">
        <v>38</v>
      </c>
      <c r="C16" t="s">
        <v>51</v>
      </c>
      <c r="D16" t="s">
        <v>58</v>
      </c>
      <c r="E16" t="s">
        <v>59</v>
      </c>
      <c r="F16" t="s">
        <v>46</v>
      </c>
      <c r="G16" t="s">
        <v>4</v>
      </c>
      <c r="H16">
        <v>120</v>
      </c>
      <c r="I16">
        <f t="shared" si="2"/>
        <v>120</v>
      </c>
      <c r="J16">
        <f t="shared" si="0"/>
        <v>0</v>
      </c>
      <c r="K16" s="6">
        <f t="shared" si="1"/>
        <v>1</v>
      </c>
    </row>
    <row r="17" spans="1:11" x14ac:dyDescent="0.3">
      <c r="A17">
        <f t="shared" si="3"/>
        <v>16</v>
      </c>
      <c r="B17" t="s">
        <v>38</v>
      </c>
      <c r="C17" t="s">
        <v>51</v>
      </c>
      <c r="D17" t="s">
        <v>58</v>
      </c>
      <c r="E17" t="s">
        <v>60</v>
      </c>
      <c r="F17" t="s">
        <v>46</v>
      </c>
      <c r="G17" t="s">
        <v>4</v>
      </c>
      <c r="H17">
        <v>80</v>
      </c>
      <c r="I17">
        <f t="shared" si="2"/>
        <v>80</v>
      </c>
      <c r="J17">
        <f t="shared" si="0"/>
        <v>0</v>
      </c>
      <c r="K17" s="6">
        <f t="shared" si="1"/>
        <v>1</v>
      </c>
    </row>
    <row r="18" spans="1:11" x14ac:dyDescent="0.3">
      <c r="A18">
        <f t="shared" si="3"/>
        <v>17</v>
      </c>
      <c r="B18" t="s">
        <v>38</v>
      </c>
      <c r="C18" t="s">
        <v>51</v>
      </c>
      <c r="D18" t="s">
        <v>58</v>
      </c>
      <c r="E18" t="s">
        <v>61</v>
      </c>
      <c r="F18" t="s">
        <v>46</v>
      </c>
      <c r="G18" t="s">
        <v>4</v>
      </c>
      <c r="H18">
        <v>100</v>
      </c>
      <c r="I18">
        <f t="shared" si="2"/>
        <v>100</v>
      </c>
      <c r="J18">
        <f t="shared" si="0"/>
        <v>0</v>
      </c>
      <c r="K18" s="6">
        <f t="shared" si="1"/>
        <v>1</v>
      </c>
    </row>
    <row r="19" spans="1:11" x14ac:dyDescent="0.3">
      <c r="A19">
        <f t="shared" si="3"/>
        <v>18</v>
      </c>
      <c r="B19" t="s">
        <v>38</v>
      </c>
      <c r="C19" t="s">
        <v>51</v>
      </c>
      <c r="D19" t="s">
        <v>58</v>
      </c>
      <c r="E19" t="s">
        <v>62</v>
      </c>
      <c r="F19" t="s">
        <v>46</v>
      </c>
      <c r="G19" t="s">
        <v>4</v>
      </c>
      <c r="H19">
        <v>120</v>
      </c>
      <c r="I19">
        <f t="shared" si="2"/>
        <v>120</v>
      </c>
      <c r="J19">
        <f t="shared" si="0"/>
        <v>0</v>
      </c>
      <c r="K19" s="6">
        <f t="shared" si="1"/>
        <v>1</v>
      </c>
    </row>
    <row r="20" spans="1:11" x14ac:dyDescent="0.3">
      <c r="A20">
        <f t="shared" si="3"/>
        <v>19</v>
      </c>
      <c r="B20" t="s">
        <v>38</v>
      </c>
      <c r="C20" t="s">
        <v>51</v>
      </c>
      <c r="D20" t="s">
        <v>58</v>
      </c>
      <c r="E20" t="s">
        <v>63</v>
      </c>
      <c r="F20" t="s">
        <v>46</v>
      </c>
      <c r="G20" t="s">
        <v>4</v>
      </c>
      <c r="H20">
        <v>120</v>
      </c>
      <c r="I20">
        <f t="shared" si="2"/>
        <v>120</v>
      </c>
      <c r="J20">
        <f t="shared" si="0"/>
        <v>0</v>
      </c>
      <c r="K20" s="6">
        <f t="shared" si="1"/>
        <v>1</v>
      </c>
    </row>
    <row r="21" spans="1:11" x14ac:dyDescent="0.3">
      <c r="A21">
        <f t="shared" si="3"/>
        <v>20</v>
      </c>
      <c r="B21" t="s">
        <v>38</v>
      </c>
      <c r="C21" t="s">
        <v>51</v>
      </c>
      <c r="D21" t="s">
        <v>58</v>
      </c>
      <c r="E21" t="s">
        <v>64</v>
      </c>
      <c r="F21" t="s">
        <v>46</v>
      </c>
      <c r="G21" t="s">
        <v>4</v>
      </c>
      <c r="H21">
        <v>180</v>
      </c>
      <c r="I21">
        <f t="shared" si="2"/>
        <v>180</v>
      </c>
      <c r="J21">
        <f t="shared" si="0"/>
        <v>0</v>
      </c>
      <c r="K21" s="6">
        <f t="shared" si="1"/>
        <v>1</v>
      </c>
    </row>
    <row r="22" spans="1:11" x14ac:dyDescent="0.3">
      <c r="A22">
        <f t="shared" si="3"/>
        <v>21</v>
      </c>
      <c r="B22" t="s">
        <v>38</v>
      </c>
      <c r="C22" t="s">
        <v>51</v>
      </c>
      <c r="D22" t="s">
        <v>58</v>
      </c>
      <c r="E22" t="s">
        <v>65</v>
      </c>
      <c r="F22" t="s">
        <v>46</v>
      </c>
      <c r="G22" t="s">
        <v>4</v>
      </c>
      <c r="H22">
        <v>150</v>
      </c>
      <c r="I22">
        <f t="shared" si="2"/>
        <v>150</v>
      </c>
      <c r="J22">
        <f t="shared" si="0"/>
        <v>0</v>
      </c>
      <c r="K22" s="6">
        <f t="shared" si="1"/>
        <v>1</v>
      </c>
    </row>
    <row r="23" spans="1:11" x14ac:dyDescent="0.3">
      <c r="A23">
        <f t="shared" si="3"/>
        <v>22</v>
      </c>
      <c r="B23" t="s">
        <v>38</v>
      </c>
      <c r="C23" t="s">
        <v>51</v>
      </c>
      <c r="D23" t="s">
        <v>58</v>
      </c>
      <c r="E23" t="s">
        <v>66</v>
      </c>
      <c r="F23" t="s">
        <v>46</v>
      </c>
      <c r="G23" t="s">
        <v>4</v>
      </c>
      <c r="H23">
        <v>240</v>
      </c>
      <c r="I23">
        <f t="shared" si="2"/>
        <v>240</v>
      </c>
      <c r="J23">
        <f t="shared" si="0"/>
        <v>0</v>
      </c>
      <c r="K23" s="6">
        <f t="shared" si="1"/>
        <v>1</v>
      </c>
    </row>
    <row r="24" spans="1:11" x14ac:dyDescent="0.3">
      <c r="A24">
        <f t="shared" si="3"/>
        <v>23</v>
      </c>
      <c r="B24" t="s">
        <v>38</v>
      </c>
      <c r="C24" t="s">
        <v>51</v>
      </c>
      <c r="D24" t="s">
        <v>58</v>
      </c>
      <c r="E24" t="s">
        <v>67</v>
      </c>
      <c r="F24" t="s">
        <v>46</v>
      </c>
      <c r="G24" t="s">
        <v>4</v>
      </c>
      <c r="H24">
        <v>150</v>
      </c>
      <c r="I24">
        <f t="shared" si="2"/>
        <v>150</v>
      </c>
      <c r="J24">
        <f t="shared" si="0"/>
        <v>0</v>
      </c>
      <c r="K24" s="6">
        <f t="shared" si="1"/>
        <v>1</v>
      </c>
    </row>
    <row r="25" spans="1:11" x14ac:dyDescent="0.3">
      <c r="A25">
        <f t="shared" si="3"/>
        <v>24</v>
      </c>
      <c r="B25" t="s">
        <v>38</v>
      </c>
      <c r="C25" t="s">
        <v>51</v>
      </c>
      <c r="D25" t="s">
        <v>58</v>
      </c>
      <c r="E25" t="s">
        <v>68</v>
      </c>
      <c r="F25" t="s">
        <v>46</v>
      </c>
      <c r="G25" t="s">
        <v>4</v>
      </c>
      <c r="H25">
        <v>180</v>
      </c>
      <c r="I25">
        <f t="shared" si="2"/>
        <v>180</v>
      </c>
      <c r="J25">
        <f t="shared" si="0"/>
        <v>0</v>
      </c>
      <c r="K25" s="6">
        <f t="shared" si="1"/>
        <v>1</v>
      </c>
    </row>
    <row r="26" spans="1:11" x14ac:dyDescent="0.3">
      <c r="A26">
        <f t="shared" si="3"/>
        <v>25</v>
      </c>
      <c r="B26" t="s">
        <v>38</v>
      </c>
      <c r="C26" t="s">
        <v>51</v>
      </c>
      <c r="D26" t="s">
        <v>58</v>
      </c>
      <c r="E26" t="s">
        <v>69</v>
      </c>
      <c r="F26" t="s">
        <v>46</v>
      </c>
      <c r="G26" t="s">
        <v>4</v>
      </c>
      <c r="H26">
        <v>240</v>
      </c>
      <c r="I26">
        <f t="shared" si="2"/>
        <v>240</v>
      </c>
      <c r="J26">
        <f t="shared" si="0"/>
        <v>0</v>
      </c>
      <c r="K26" s="6">
        <f t="shared" si="1"/>
        <v>1</v>
      </c>
    </row>
    <row r="27" spans="1:11" x14ac:dyDescent="0.3">
      <c r="A27">
        <f t="shared" si="3"/>
        <v>26</v>
      </c>
      <c r="B27" t="s">
        <v>38</v>
      </c>
      <c r="C27" t="s">
        <v>51</v>
      </c>
      <c r="D27" t="s">
        <v>58</v>
      </c>
      <c r="E27" t="s">
        <v>70</v>
      </c>
      <c r="F27" t="s">
        <v>46</v>
      </c>
      <c r="G27" t="s">
        <v>4</v>
      </c>
      <c r="H27">
        <v>100</v>
      </c>
      <c r="I27">
        <f t="shared" si="2"/>
        <v>100</v>
      </c>
      <c r="J27">
        <f t="shared" si="0"/>
        <v>0</v>
      </c>
      <c r="K27" s="6">
        <f t="shared" si="1"/>
        <v>1</v>
      </c>
    </row>
    <row r="28" spans="1:11" x14ac:dyDescent="0.3">
      <c r="A28">
        <f t="shared" si="3"/>
        <v>27</v>
      </c>
      <c r="B28" t="s">
        <v>38</v>
      </c>
      <c r="C28" t="s">
        <v>51</v>
      </c>
      <c r="D28" t="s">
        <v>58</v>
      </c>
      <c r="E28" t="s">
        <v>71</v>
      </c>
      <c r="F28" t="s">
        <v>46</v>
      </c>
      <c r="G28" t="s">
        <v>4</v>
      </c>
      <c r="H28">
        <v>100</v>
      </c>
      <c r="I28">
        <f t="shared" si="2"/>
        <v>100</v>
      </c>
      <c r="J28">
        <f t="shared" si="0"/>
        <v>0</v>
      </c>
      <c r="K28" s="6">
        <f t="shared" si="1"/>
        <v>1</v>
      </c>
    </row>
    <row r="29" spans="1:11" x14ac:dyDescent="0.3">
      <c r="A29">
        <f t="shared" si="3"/>
        <v>28</v>
      </c>
      <c r="B29" t="s">
        <v>38</v>
      </c>
      <c r="C29" t="s">
        <v>72</v>
      </c>
      <c r="D29" t="s">
        <v>73</v>
      </c>
      <c r="E29" t="s">
        <v>74</v>
      </c>
      <c r="F29" t="s">
        <v>42</v>
      </c>
      <c r="G29" t="s">
        <v>4</v>
      </c>
      <c r="H29">
        <v>180</v>
      </c>
      <c r="I29">
        <f t="shared" si="2"/>
        <v>180</v>
      </c>
      <c r="J29">
        <f t="shared" si="0"/>
        <v>0</v>
      </c>
      <c r="K29" s="6">
        <f t="shared" si="1"/>
        <v>1</v>
      </c>
    </row>
    <row r="30" spans="1:11" x14ac:dyDescent="0.3">
      <c r="A30">
        <f t="shared" si="3"/>
        <v>29</v>
      </c>
      <c r="B30" t="s">
        <v>38</v>
      </c>
      <c r="C30" t="s">
        <v>72</v>
      </c>
      <c r="D30" t="s">
        <v>73</v>
      </c>
      <c r="E30" t="s">
        <v>75</v>
      </c>
      <c r="F30" t="s">
        <v>42</v>
      </c>
      <c r="G30" t="s">
        <v>4</v>
      </c>
      <c r="H30">
        <v>90</v>
      </c>
      <c r="I30">
        <f t="shared" si="2"/>
        <v>90</v>
      </c>
      <c r="J30">
        <f t="shared" si="0"/>
        <v>0</v>
      </c>
      <c r="K30" s="6">
        <f t="shared" si="1"/>
        <v>1</v>
      </c>
    </row>
    <row r="31" spans="1:11" x14ac:dyDescent="0.3">
      <c r="A31">
        <f t="shared" si="3"/>
        <v>30</v>
      </c>
      <c r="B31" t="s">
        <v>38</v>
      </c>
      <c r="C31" t="s">
        <v>72</v>
      </c>
      <c r="D31" t="s">
        <v>73</v>
      </c>
      <c r="E31" t="s">
        <v>76</v>
      </c>
      <c r="F31" t="s">
        <v>46</v>
      </c>
      <c r="G31" t="s">
        <v>4</v>
      </c>
      <c r="H31">
        <v>60</v>
      </c>
      <c r="I31">
        <f t="shared" si="2"/>
        <v>60</v>
      </c>
      <c r="J31">
        <f t="shared" si="0"/>
        <v>0</v>
      </c>
      <c r="K31" s="6">
        <f t="shared" si="1"/>
        <v>1</v>
      </c>
    </row>
    <row r="32" spans="1:11" x14ac:dyDescent="0.3">
      <c r="A32">
        <f t="shared" si="3"/>
        <v>31</v>
      </c>
      <c r="B32" t="s">
        <v>38</v>
      </c>
      <c r="C32" t="s">
        <v>77</v>
      </c>
      <c r="D32" t="s">
        <v>78</v>
      </c>
      <c r="E32" t="s">
        <v>79</v>
      </c>
      <c r="F32" t="s">
        <v>42</v>
      </c>
      <c r="G32" t="s">
        <v>4</v>
      </c>
      <c r="H32">
        <v>150</v>
      </c>
      <c r="I32">
        <f t="shared" si="2"/>
        <v>150</v>
      </c>
      <c r="J32">
        <f t="shared" si="0"/>
        <v>0</v>
      </c>
      <c r="K32" s="6">
        <f t="shared" si="1"/>
        <v>1</v>
      </c>
    </row>
    <row r="33" spans="1:11" x14ac:dyDescent="0.3">
      <c r="A33">
        <f t="shared" si="3"/>
        <v>32</v>
      </c>
      <c r="B33" t="s">
        <v>38</v>
      </c>
      <c r="C33" t="s">
        <v>77</v>
      </c>
      <c r="D33" t="s">
        <v>80</v>
      </c>
      <c r="E33" t="s">
        <v>81</v>
      </c>
      <c r="F33" t="s">
        <v>46</v>
      </c>
      <c r="G33" t="s">
        <v>4</v>
      </c>
      <c r="H33">
        <v>120</v>
      </c>
      <c r="I33">
        <f t="shared" si="2"/>
        <v>120</v>
      </c>
      <c r="J33">
        <f t="shared" ref="J33:J52" si="4">H33-I33</f>
        <v>0</v>
      </c>
      <c r="K33" s="6">
        <f t="shared" ref="K33:K52" si="5">IF(H33&gt;0, I33/H33, 0)</f>
        <v>1</v>
      </c>
    </row>
    <row r="34" spans="1:11" x14ac:dyDescent="0.3">
      <c r="A34">
        <f t="shared" si="3"/>
        <v>33</v>
      </c>
      <c r="B34" t="s">
        <v>38</v>
      </c>
      <c r="C34" t="s">
        <v>77</v>
      </c>
      <c r="D34" t="s">
        <v>80</v>
      </c>
      <c r="E34" t="s">
        <v>82</v>
      </c>
      <c r="F34" t="s">
        <v>46</v>
      </c>
      <c r="G34" t="s">
        <v>4</v>
      </c>
      <c r="H34">
        <v>60</v>
      </c>
      <c r="I34">
        <f t="shared" si="2"/>
        <v>60</v>
      </c>
      <c r="J34">
        <f t="shared" si="4"/>
        <v>0</v>
      </c>
      <c r="K34" s="6">
        <f t="shared" si="5"/>
        <v>1</v>
      </c>
    </row>
    <row r="35" spans="1:11" x14ac:dyDescent="0.3">
      <c r="A35">
        <f t="shared" si="3"/>
        <v>34</v>
      </c>
      <c r="B35" t="s">
        <v>38</v>
      </c>
      <c r="C35" t="s">
        <v>83</v>
      </c>
      <c r="D35" t="s">
        <v>84</v>
      </c>
      <c r="E35" t="s">
        <v>85</v>
      </c>
      <c r="F35" t="s">
        <v>42</v>
      </c>
      <c r="G35" t="s">
        <v>4</v>
      </c>
      <c r="H35">
        <v>150</v>
      </c>
      <c r="I35">
        <f t="shared" si="2"/>
        <v>150</v>
      </c>
      <c r="J35">
        <f t="shared" si="4"/>
        <v>0</v>
      </c>
      <c r="K35" s="6">
        <f t="shared" si="5"/>
        <v>1</v>
      </c>
    </row>
    <row r="36" spans="1:11" x14ac:dyDescent="0.3">
      <c r="A36">
        <f t="shared" si="3"/>
        <v>35</v>
      </c>
      <c r="B36" t="s">
        <v>38</v>
      </c>
      <c r="C36" t="s">
        <v>83</v>
      </c>
      <c r="D36" t="s">
        <v>86</v>
      </c>
      <c r="E36" t="s">
        <v>87</v>
      </c>
      <c r="F36" t="s">
        <v>42</v>
      </c>
      <c r="G36" t="s">
        <v>4</v>
      </c>
      <c r="H36">
        <v>180</v>
      </c>
      <c r="I36">
        <f t="shared" si="2"/>
        <v>180</v>
      </c>
      <c r="J36">
        <f t="shared" si="4"/>
        <v>0</v>
      </c>
      <c r="K36" s="6">
        <f t="shared" si="5"/>
        <v>1</v>
      </c>
    </row>
    <row r="37" spans="1:11" x14ac:dyDescent="0.3">
      <c r="A37">
        <f t="shared" si="3"/>
        <v>36</v>
      </c>
      <c r="B37" t="s">
        <v>38</v>
      </c>
      <c r="C37" t="s">
        <v>88</v>
      </c>
      <c r="D37" t="s">
        <v>89</v>
      </c>
      <c r="E37" t="s">
        <v>90</v>
      </c>
      <c r="F37" t="s">
        <v>46</v>
      </c>
      <c r="G37" t="s">
        <v>4</v>
      </c>
      <c r="H37">
        <v>180</v>
      </c>
      <c r="I37">
        <f t="shared" si="2"/>
        <v>180</v>
      </c>
      <c r="J37">
        <f t="shared" si="4"/>
        <v>0</v>
      </c>
      <c r="K37" s="6">
        <f t="shared" si="5"/>
        <v>1</v>
      </c>
    </row>
    <row r="38" spans="1:11" x14ac:dyDescent="0.3">
      <c r="A38">
        <f t="shared" si="3"/>
        <v>37</v>
      </c>
      <c r="B38" t="s">
        <v>91</v>
      </c>
      <c r="C38" t="s">
        <v>92</v>
      </c>
      <c r="D38" t="s">
        <v>93</v>
      </c>
      <c r="E38" t="s">
        <v>94</v>
      </c>
      <c r="F38" t="s">
        <v>42</v>
      </c>
      <c r="G38" t="s">
        <v>4</v>
      </c>
      <c r="H38">
        <v>120</v>
      </c>
      <c r="I38">
        <f t="shared" si="2"/>
        <v>120</v>
      </c>
      <c r="J38">
        <f t="shared" si="4"/>
        <v>0</v>
      </c>
      <c r="K38" s="6">
        <f t="shared" si="5"/>
        <v>1</v>
      </c>
    </row>
    <row r="39" spans="1:11" x14ac:dyDescent="0.3">
      <c r="A39">
        <f t="shared" si="3"/>
        <v>38</v>
      </c>
      <c r="B39" t="s">
        <v>91</v>
      </c>
      <c r="C39" t="s">
        <v>92</v>
      </c>
      <c r="D39" t="s">
        <v>93</v>
      </c>
      <c r="E39" t="s">
        <v>95</v>
      </c>
      <c r="F39" t="s">
        <v>42</v>
      </c>
      <c r="G39" t="s">
        <v>4</v>
      </c>
      <c r="H39">
        <v>45</v>
      </c>
      <c r="I39">
        <f t="shared" si="2"/>
        <v>45</v>
      </c>
      <c r="J39">
        <f t="shared" si="4"/>
        <v>0</v>
      </c>
      <c r="K39" s="6">
        <f t="shared" si="5"/>
        <v>1</v>
      </c>
    </row>
    <row r="40" spans="1:11" x14ac:dyDescent="0.3">
      <c r="A40">
        <f t="shared" si="3"/>
        <v>39</v>
      </c>
      <c r="B40" t="s">
        <v>91</v>
      </c>
      <c r="C40" t="s">
        <v>96</v>
      </c>
      <c r="D40" t="s">
        <v>97</v>
      </c>
      <c r="E40" t="s">
        <v>98</v>
      </c>
      <c r="F40" t="s">
        <v>42</v>
      </c>
      <c r="G40" t="s">
        <v>4</v>
      </c>
      <c r="H40">
        <v>180</v>
      </c>
      <c r="I40">
        <f t="shared" si="2"/>
        <v>180</v>
      </c>
      <c r="J40">
        <f t="shared" si="4"/>
        <v>0</v>
      </c>
      <c r="K40" s="6">
        <f t="shared" si="5"/>
        <v>1</v>
      </c>
    </row>
    <row r="41" spans="1:11" x14ac:dyDescent="0.3">
      <c r="A41">
        <f t="shared" si="3"/>
        <v>40</v>
      </c>
      <c r="B41" t="s">
        <v>91</v>
      </c>
      <c r="C41" t="s">
        <v>96</v>
      </c>
      <c r="D41" t="s">
        <v>99</v>
      </c>
      <c r="E41" t="s">
        <v>100</v>
      </c>
      <c r="F41" t="s">
        <v>46</v>
      </c>
      <c r="G41" t="s">
        <v>4</v>
      </c>
      <c r="H41">
        <v>75</v>
      </c>
      <c r="I41">
        <f t="shared" si="2"/>
        <v>75</v>
      </c>
      <c r="J41">
        <f t="shared" si="4"/>
        <v>0</v>
      </c>
      <c r="K41" s="6">
        <f t="shared" si="5"/>
        <v>1</v>
      </c>
    </row>
    <row r="42" spans="1:11" x14ac:dyDescent="0.3">
      <c r="A42">
        <f t="shared" si="3"/>
        <v>41</v>
      </c>
      <c r="B42" t="s">
        <v>91</v>
      </c>
      <c r="C42" t="s">
        <v>96</v>
      </c>
      <c r="D42" t="s">
        <v>99</v>
      </c>
      <c r="E42" t="s">
        <v>101</v>
      </c>
      <c r="F42" t="s">
        <v>46</v>
      </c>
      <c r="G42" t="s">
        <v>4</v>
      </c>
      <c r="H42">
        <v>60</v>
      </c>
      <c r="I42">
        <f t="shared" si="2"/>
        <v>60</v>
      </c>
      <c r="J42">
        <f t="shared" si="4"/>
        <v>0</v>
      </c>
      <c r="K42" s="6">
        <f t="shared" si="5"/>
        <v>1</v>
      </c>
    </row>
    <row r="43" spans="1:11" x14ac:dyDescent="0.3">
      <c r="A43">
        <f t="shared" si="3"/>
        <v>42</v>
      </c>
      <c r="B43" t="s">
        <v>91</v>
      </c>
      <c r="C43" t="s">
        <v>96</v>
      </c>
      <c r="D43" t="s">
        <v>102</v>
      </c>
      <c r="E43" t="s">
        <v>103</v>
      </c>
      <c r="F43" t="s">
        <v>42</v>
      </c>
      <c r="G43" t="s">
        <v>4</v>
      </c>
      <c r="H43">
        <v>120</v>
      </c>
      <c r="I43">
        <f t="shared" si="2"/>
        <v>120</v>
      </c>
      <c r="J43">
        <f t="shared" si="4"/>
        <v>0</v>
      </c>
      <c r="K43" s="6">
        <f t="shared" si="5"/>
        <v>1</v>
      </c>
    </row>
    <row r="44" spans="1:11" x14ac:dyDescent="0.3">
      <c r="A44">
        <f t="shared" si="3"/>
        <v>43</v>
      </c>
      <c r="B44" t="s">
        <v>91</v>
      </c>
      <c r="C44" t="s">
        <v>104</v>
      </c>
      <c r="D44" t="s">
        <v>105</v>
      </c>
      <c r="E44" t="s">
        <v>106</v>
      </c>
      <c r="F44" t="s">
        <v>42</v>
      </c>
      <c r="G44" t="s">
        <v>4</v>
      </c>
      <c r="H44">
        <v>180</v>
      </c>
      <c r="I44">
        <f t="shared" si="2"/>
        <v>180</v>
      </c>
      <c r="J44">
        <f t="shared" si="4"/>
        <v>0</v>
      </c>
      <c r="K44" s="6">
        <f t="shared" si="5"/>
        <v>1</v>
      </c>
    </row>
    <row r="45" spans="1:11" x14ac:dyDescent="0.3">
      <c r="A45">
        <f t="shared" si="3"/>
        <v>44</v>
      </c>
      <c r="B45" t="s">
        <v>91</v>
      </c>
      <c r="C45" t="s">
        <v>104</v>
      </c>
      <c r="D45" t="s">
        <v>83</v>
      </c>
      <c r="E45" t="s">
        <v>107</v>
      </c>
      <c r="F45" t="s">
        <v>42</v>
      </c>
      <c r="G45" t="s">
        <v>4</v>
      </c>
      <c r="H45">
        <v>90</v>
      </c>
      <c r="I45">
        <f t="shared" si="2"/>
        <v>90</v>
      </c>
      <c r="J45">
        <f t="shared" si="4"/>
        <v>0</v>
      </c>
      <c r="K45" s="6">
        <f t="shared" si="5"/>
        <v>1</v>
      </c>
    </row>
    <row r="46" spans="1:11" x14ac:dyDescent="0.3">
      <c r="A46">
        <f t="shared" si="3"/>
        <v>45</v>
      </c>
      <c r="B46" t="s">
        <v>91</v>
      </c>
      <c r="C46" t="s">
        <v>108</v>
      </c>
      <c r="D46" t="s">
        <v>44</v>
      </c>
      <c r="E46" t="s">
        <v>109</v>
      </c>
      <c r="F46" t="s">
        <v>46</v>
      </c>
      <c r="G46" t="s">
        <v>4</v>
      </c>
      <c r="H46">
        <v>150</v>
      </c>
      <c r="I46">
        <f t="shared" si="2"/>
        <v>150</v>
      </c>
      <c r="J46">
        <f t="shared" si="4"/>
        <v>0</v>
      </c>
      <c r="K46" s="6">
        <f t="shared" si="5"/>
        <v>1</v>
      </c>
    </row>
    <row r="47" spans="1:11" x14ac:dyDescent="0.3">
      <c r="A47">
        <f t="shared" si="3"/>
        <v>46</v>
      </c>
      <c r="B47" t="s">
        <v>91</v>
      </c>
      <c r="C47" t="s">
        <v>110</v>
      </c>
      <c r="D47" t="s">
        <v>111</v>
      </c>
      <c r="E47" t="s">
        <v>112</v>
      </c>
      <c r="F47" t="s">
        <v>50</v>
      </c>
      <c r="G47" t="s">
        <v>4</v>
      </c>
      <c r="H47">
        <v>240</v>
      </c>
      <c r="I47">
        <f t="shared" si="2"/>
        <v>240</v>
      </c>
      <c r="J47">
        <f t="shared" si="4"/>
        <v>0</v>
      </c>
      <c r="K47" s="6">
        <f t="shared" si="5"/>
        <v>1</v>
      </c>
    </row>
    <row r="48" spans="1:11" x14ac:dyDescent="0.3">
      <c r="A48">
        <f t="shared" si="3"/>
        <v>47</v>
      </c>
      <c r="B48" t="s">
        <v>91</v>
      </c>
      <c r="C48" t="s">
        <v>110</v>
      </c>
      <c r="D48" t="s">
        <v>111</v>
      </c>
      <c r="E48" t="s">
        <v>113</v>
      </c>
      <c r="F48" t="s">
        <v>42</v>
      </c>
      <c r="G48" t="s">
        <v>4</v>
      </c>
      <c r="H48">
        <v>60</v>
      </c>
      <c r="I48">
        <f t="shared" si="2"/>
        <v>60</v>
      </c>
      <c r="J48">
        <f t="shared" si="4"/>
        <v>0</v>
      </c>
      <c r="K48" s="6">
        <f t="shared" si="5"/>
        <v>1</v>
      </c>
    </row>
    <row r="49" spans="1:11" x14ac:dyDescent="0.3">
      <c r="A49">
        <f t="shared" si="3"/>
        <v>48</v>
      </c>
      <c r="B49" t="s">
        <v>91</v>
      </c>
      <c r="C49" t="s">
        <v>110</v>
      </c>
      <c r="D49" t="s">
        <v>114</v>
      </c>
      <c r="E49" t="s">
        <v>115</v>
      </c>
      <c r="F49" t="s">
        <v>42</v>
      </c>
      <c r="G49" t="s">
        <v>4</v>
      </c>
      <c r="H49">
        <v>90</v>
      </c>
      <c r="I49">
        <f t="shared" si="2"/>
        <v>90</v>
      </c>
      <c r="J49">
        <f t="shared" si="4"/>
        <v>0</v>
      </c>
      <c r="K49" s="6">
        <f t="shared" si="5"/>
        <v>1</v>
      </c>
    </row>
    <row r="50" spans="1:11" x14ac:dyDescent="0.3">
      <c r="A50">
        <f t="shared" si="3"/>
        <v>49</v>
      </c>
      <c r="B50" t="s">
        <v>91</v>
      </c>
      <c r="C50" t="s">
        <v>77</v>
      </c>
      <c r="D50" t="s">
        <v>116</v>
      </c>
      <c r="E50" t="s">
        <v>117</v>
      </c>
      <c r="F50" t="s">
        <v>42</v>
      </c>
      <c r="G50" t="s">
        <v>4</v>
      </c>
      <c r="H50">
        <v>150</v>
      </c>
      <c r="I50">
        <f t="shared" si="2"/>
        <v>150</v>
      </c>
      <c r="J50">
        <f t="shared" si="4"/>
        <v>0</v>
      </c>
      <c r="K50" s="6">
        <f t="shared" si="5"/>
        <v>1</v>
      </c>
    </row>
    <row r="51" spans="1:11" x14ac:dyDescent="0.3">
      <c r="A51">
        <f t="shared" si="3"/>
        <v>50</v>
      </c>
      <c r="B51" t="s">
        <v>118</v>
      </c>
      <c r="C51" t="s">
        <v>119</v>
      </c>
      <c r="D51" t="s">
        <v>24</v>
      </c>
      <c r="E51" t="s">
        <v>120</v>
      </c>
      <c r="F51" t="s">
        <v>46</v>
      </c>
      <c r="G51" t="s">
        <v>4</v>
      </c>
      <c r="H51">
        <v>60</v>
      </c>
      <c r="I51">
        <f t="shared" si="2"/>
        <v>60</v>
      </c>
      <c r="J51">
        <f t="shared" si="4"/>
        <v>0</v>
      </c>
      <c r="K51" s="6">
        <f t="shared" si="5"/>
        <v>1</v>
      </c>
    </row>
    <row r="52" spans="1:11" x14ac:dyDescent="0.3">
      <c r="A52">
        <f t="shared" si="3"/>
        <v>51</v>
      </c>
      <c r="B52" t="s">
        <v>118</v>
      </c>
      <c r="C52" t="s">
        <v>122</v>
      </c>
      <c r="D52" t="s">
        <v>24</v>
      </c>
      <c r="E52" t="s">
        <v>123</v>
      </c>
      <c r="F52" t="s">
        <v>121</v>
      </c>
      <c r="G52" t="s">
        <v>4</v>
      </c>
      <c r="H52">
        <v>70</v>
      </c>
      <c r="I52">
        <f t="shared" si="2"/>
        <v>70</v>
      </c>
      <c r="J52">
        <f t="shared" si="4"/>
        <v>0</v>
      </c>
      <c r="K52" s="6">
        <f t="shared" si="5"/>
        <v>1</v>
      </c>
    </row>
    <row r="53" spans="1:11" x14ac:dyDescent="0.3">
      <c r="G53" t="s">
        <v>124</v>
      </c>
      <c r="H53">
        <f>SUM(H2:H52)</f>
        <v>5290</v>
      </c>
      <c r="I53">
        <f>SUM(I2:I52)</f>
        <v>5290</v>
      </c>
      <c r="J53">
        <f>SUM(J2:J52)</f>
        <v>0</v>
      </c>
      <c r="K53" s="6">
        <f>I53/H53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Avancement</vt:lpstr>
      <vt:lpstr>Liste des taches</vt:lpstr>
      <vt:lpstr>Detail 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Nahary Razafindralambo</cp:lastModifiedBy>
  <dcterms:created xsi:type="dcterms:W3CDTF">2026-05-17T21:43:14Z</dcterms:created>
  <dcterms:modified xsi:type="dcterms:W3CDTF">2026-05-18T05:05:46Z</dcterms:modified>
</cp:coreProperties>
</file>