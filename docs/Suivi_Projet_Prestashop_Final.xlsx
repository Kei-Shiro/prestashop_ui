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" sheetId="1" state="visible" r:id="rId1"/>
    <sheet name="Avancement" sheetId="2" state="visible" r:id="rId2"/>
    <sheet name="Liste des taches" sheetId="3" state="visible" r:id="rId3"/>
    <sheet name="Detail Avanc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9BC2E6"/>
        <bgColor rgb="00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10" fontId="0" fillId="4" borderId="0" pivotButton="0" quotePrefix="0" xfId="0"/>
    <xf numFmtId="0" fontId="1" fillId="5" borderId="0" pivotButton="0" quotePrefix="0" xfId="0"/>
    <xf numFmtId="1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</t>
        </is>
      </c>
      <c r="B1" s="1" t="inlineStr">
        <is>
          <t>SUM de Estimation</t>
        </is>
      </c>
      <c r="C1" s="1" t="inlineStr">
        <is>
          <t>SUM de Temps passé</t>
        </is>
      </c>
      <c r="D1" s="1" t="inlineStr">
        <is>
          <t>SUM de Reste à faire</t>
        </is>
      </c>
    </row>
    <row r="2">
      <c r="A2" t="inlineStr">
        <is>
          <t>Moi</t>
        </is>
      </c>
      <c r="B2">
        <f>'Detail Avancement'!H57</f>
        <v/>
      </c>
      <c r="C2">
        <f>'Detail Avancement'!I57</f>
        <v/>
      </c>
      <c r="D2">
        <f>'Detail Avancement'!J57</f>
        <v/>
      </c>
    </row>
    <row r="3">
      <c r="A3" s="2" t="inlineStr">
        <is>
          <t>Total général</t>
        </is>
      </c>
      <c r="B3" s="2">
        <f>B2</f>
        <v/>
      </c>
      <c r="C3" s="2">
        <f>C2</f>
        <v/>
      </c>
      <c r="D3" s="2">
        <f>D2</f>
        <v/>
      </c>
    </row>
    <row r="5">
      <c r="A5" s="3" t="inlineStr">
        <is>
          <t>Avancement</t>
        </is>
      </c>
      <c r="B5" s="4">
        <f>C3/B3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estimation total</t>
        </is>
      </c>
      <c r="B1" s="5" t="inlineStr">
        <is>
          <t>temps passé total</t>
        </is>
      </c>
      <c r="C1" s="5" t="inlineStr">
        <is>
          <t>reste à faire total</t>
        </is>
      </c>
      <c r="D1" s="5" t="inlineStr">
        <is>
          <t>avancement</t>
        </is>
      </c>
      <c r="E1" s="5" t="inlineStr">
        <is>
          <t>dépassement</t>
        </is>
      </c>
    </row>
    <row r="2">
      <c r="A2">
        <f>Recap!B3</f>
        <v/>
      </c>
      <c r="B2">
        <f>Recap!C3</f>
        <v/>
      </c>
      <c r="C2">
        <f>Recap!D3</f>
        <v/>
      </c>
      <c r="D2" s="6">
        <f>Recap!B5</f>
        <v/>
      </c>
      <c r="E2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Ligne</t>
        </is>
      </c>
      <c r="B1" s="5" t="inlineStr">
        <is>
          <t>Total</t>
        </is>
      </c>
      <c r="C1" s="5" t="inlineStr">
        <is>
          <t>05/05</t>
        </is>
      </c>
      <c r="D1" s="5" t="inlineStr">
        <is>
          <t>06/05</t>
        </is>
      </c>
      <c r="E1" s="5" t="inlineStr">
        <is>
          <t>07/05</t>
        </is>
      </c>
      <c r="F1" s="5" t="inlineStr">
        <is>
          <t>08/05</t>
        </is>
      </c>
      <c r="G1" s="5" t="inlineStr">
        <is>
          <t>09/05</t>
        </is>
      </c>
      <c r="H1" s="5" t="inlineStr">
        <is>
          <t>11/05</t>
        </is>
      </c>
      <c r="I1" s="5" t="inlineStr">
        <is>
          <t>12/05</t>
        </is>
      </c>
      <c r="J1" s="5" t="inlineStr">
        <is>
          <t>13/05</t>
        </is>
      </c>
      <c r="K1" s="5" t="inlineStr">
        <is>
          <t>14/05</t>
        </is>
      </c>
      <c r="L1" s="5" t="inlineStr">
        <is>
          <t>15/05</t>
        </is>
      </c>
      <c r="M1" s="5" t="inlineStr">
        <is>
          <t>18/05</t>
        </is>
      </c>
    </row>
    <row r="2">
      <c r="A2" t="n">
        <v>1</v>
      </c>
      <c r="B2" t="n">
        <v>4</v>
      </c>
      <c r="C2" t="n">
        <v>0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n">
        <v>2</v>
      </c>
      <c r="C3" t="n">
        <v>0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n">
        <v>6</v>
      </c>
      <c r="C4" t="n">
        <v>0</v>
      </c>
      <c r="D4" t="n">
        <v>0</v>
      </c>
      <c r="E4" t="n">
        <v>0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0</v>
      </c>
      <c r="L8" t="n">
        <v>0</v>
      </c>
      <c r="M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 t="n">
        <v>0</v>
      </c>
      <c r="M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</row>
    <row r="11">
      <c r="A11" t="n">
        <v>10</v>
      </c>
      <c r="B11" t="n">
        <v>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</v>
      </c>
    </row>
    <row r="12">
      <c r="A12" t="n">
        <v>11</v>
      </c>
      <c r="B12" t="n">
        <v>4</v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n">
        <v>8</v>
      </c>
      <c r="C13" t="n">
        <v>0</v>
      </c>
      <c r="D13" t="n">
        <v>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n">
        <v>5</v>
      </c>
      <c r="C14" t="n">
        <v>0</v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n">
        <v>10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17</v>
      </c>
      <c r="B18" t="n">
        <v>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18</v>
      </c>
      <c r="B19" t="n">
        <v>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</v>
      </c>
      <c r="K19" t="n">
        <v>0</v>
      </c>
      <c r="L19" t="n">
        <v>0</v>
      </c>
      <c r="M19" t="n">
        <v>0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</v>
      </c>
      <c r="L20" t="n">
        <v>0</v>
      </c>
      <c r="M20" t="n">
        <v>0</v>
      </c>
    </row>
    <row r="21">
      <c r="A21" t="n">
        <v>20</v>
      </c>
      <c r="B21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0</v>
      </c>
    </row>
    <row r="22">
      <c r="A22" t="n">
        <v>21</v>
      </c>
      <c r="B22" t="n">
        <v>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</v>
      </c>
    </row>
    <row r="23">
      <c r="A23" t="n">
        <v>22</v>
      </c>
      <c r="B23" t="n">
        <v>8</v>
      </c>
      <c r="C23" t="n">
        <v>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23</v>
      </c>
      <c r="B24" t="n">
        <v>10</v>
      </c>
      <c r="C24" t="n">
        <v>0</v>
      </c>
      <c r="D24" t="n">
        <v>10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24</v>
      </c>
      <c r="B25" t="n">
        <v>7</v>
      </c>
      <c r="C25" t="n">
        <v>0</v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n">
        <v>9</v>
      </c>
      <c r="C26" t="n">
        <v>0</v>
      </c>
      <c r="D26" t="n">
        <v>0</v>
      </c>
      <c r="E26" t="n">
        <v>0</v>
      </c>
      <c r="F26" t="n">
        <v>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26</v>
      </c>
      <c r="B27" t="n">
        <v>10</v>
      </c>
      <c r="C27" t="n">
        <v>0</v>
      </c>
      <c r="D27" t="n">
        <v>0</v>
      </c>
      <c r="E27" t="n">
        <v>0</v>
      </c>
      <c r="F27" t="n">
        <v>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n">
        <v>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28</v>
      </c>
      <c r="B29" t="n">
        <v>15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</v>
      </c>
      <c r="B30" t="n">
        <v>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</v>
      </c>
      <c r="K30" t="n">
        <v>0</v>
      </c>
      <c r="L30" t="n">
        <v>0</v>
      </c>
      <c r="M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</v>
      </c>
      <c r="L31" t="n">
        <v>0</v>
      </c>
      <c r="M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</row>
    <row r="33">
      <c r="A33" t="n">
        <v>32</v>
      </c>
      <c r="B33" t="n">
        <v>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</v>
      </c>
    </row>
    <row r="34">
      <c r="A34" t="n">
        <v>33</v>
      </c>
      <c r="B34" t="n">
        <v>5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34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35</v>
      </c>
      <c r="B36" t="n">
        <v>8</v>
      </c>
      <c r="C36" t="n">
        <v>0</v>
      </c>
      <c r="D36" t="n">
        <v>0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36</v>
      </c>
      <c r="B37" t="n">
        <v>10</v>
      </c>
      <c r="C37" t="n">
        <v>0</v>
      </c>
      <c r="D37" t="n">
        <v>0</v>
      </c>
      <c r="E37" t="n">
        <v>0</v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37</v>
      </c>
      <c r="B38" t="n">
        <v>12</v>
      </c>
      <c r="C38" t="n">
        <v>0</v>
      </c>
      <c r="D38" t="n">
        <v>0</v>
      </c>
      <c r="E38" t="n">
        <v>0</v>
      </c>
      <c r="F38" t="n">
        <v>0</v>
      </c>
      <c r="G38" t="n">
        <v>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38</v>
      </c>
      <c r="B39" t="n">
        <v>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40</v>
      </c>
      <c r="B41" t="n">
        <v>10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0</v>
      </c>
      <c r="L41" t="n">
        <v>0</v>
      </c>
      <c r="M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</v>
      </c>
      <c r="L42" t="n">
        <v>0</v>
      </c>
      <c r="M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0</v>
      </c>
    </row>
    <row r="44">
      <c r="A44" t="n">
        <v>43</v>
      </c>
      <c r="B44" t="n">
        <v>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</v>
      </c>
    </row>
    <row r="45">
      <c r="A45" t="n">
        <v>44</v>
      </c>
      <c r="B45" t="n">
        <v>5</v>
      </c>
      <c r="C45" t="n">
        <v>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45</v>
      </c>
      <c r="B46" t="n">
        <v>7</v>
      </c>
      <c r="C46" t="n">
        <v>0</v>
      </c>
      <c r="D46" t="n">
        <v>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46</v>
      </c>
      <c r="B47" t="n">
        <v>10</v>
      </c>
      <c r="C47" t="n">
        <v>0</v>
      </c>
      <c r="D47" t="n">
        <v>0</v>
      </c>
      <c r="E47" t="n">
        <v>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0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48</v>
      </c>
      <c r="B49" t="n">
        <v>8</v>
      </c>
      <c r="C49" t="n">
        <v>0</v>
      </c>
      <c r="D49" t="n">
        <v>0</v>
      </c>
      <c r="E49" t="n">
        <v>0</v>
      </c>
      <c r="F49" t="n">
        <v>0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49</v>
      </c>
      <c r="B50" t="n">
        <v>12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</v>
      </c>
      <c r="K52" t="n">
        <v>0</v>
      </c>
      <c r="L52" t="n">
        <v>0</v>
      </c>
      <c r="M52" t="n">
        <v>0</v>
      </c>
    </row>
    <row r="53">
      <c r="A53" t="n">
        <v>52</v>
      </c>
      <c r="B53" t="n">
        <v>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8</v>
      </c>
      <c r="L53" t="n">
        <v>0</v>
      </c>
      <c r="M53" t="n">
        <v>0</v>
      </c>
    </row>
    <row r="54">
      <c r="A54" t="n">
        <v>53</v>
      </c>
      <c r="B54" t="n">
        <v>15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15</v>
      </c>
      <c r="M54" t="n">
        <v>0</v>
      </c>
    </row>
    <row r="55">
      <c r="A55" t="n">
        <v>54</v>
      </c>
      <c r="B55" t="n">
        <v>10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</v>
      </c>
    </row>
    <row r="56">
      <c r="A56" t="n">
        <v>55</v>
      </c>
      <c r="B56" t="n">
        <v>2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Ligne</t>
        </is>
      </c>
      <c r="B1" s="7" t="inlineStr">
        <is>
          <t>Catégorie</t>
        </is>
      </c>
      <c r="C1" s="7" t="inlineStr">
        <is>
          <t>Module</t>
        </is>
      </c>
      <c r="D1" s="7" t="inlineStr">
        <is>
          <t>Page</t>
        </is>
      </c>
      <c r="E1" s="7" t="inlineStr">
        <is>
          <t>Description tâche</t>
        </is>
      </c>
      <c r="F1" s="7" t="inlineStr">
        <is>
          <t>Type</t>
        </is>
      </c>
      <c r="G1" s="7" t="inlineStr">
        <is>
          <t>Qui</t>
        </is>
      </c>
      <c r="H1" s="7" t="inlineStr">
        <is>
          <t>Estimation</t>
        </is>
      </c>
      <c r="I1" s="7" t="inlineStr">
        <is>
          <t>Temps passé</t>
        </is>
      </c>
      <c r="J1" s="7" t="inlineStr">
        <is>
          <t>Reste à faire</t>
        </is>
      </c>
      <c r="K1" s="7" t="inlineStr">
        <is>
          <t>Avancement</t>
        </is>
      </c>
    </row>
    <row r="2">
      <c r="A2" t="n">
        <v>1</v>
      </c>
      <c r="B2" t="inlineStr">
        <is>
          <t>Setup</t>
        </is>
      </c>
      <c r="C2" t="inlineStr">
        <is>
          <t>Project</t>
        </is>
      </c>
      <c r="D2" t="inlineStr">
        <is>
          <t>-</t>
        </is>
      </c>
      <c r="E2" t="inlineStr">
        <is>
          <t>Initialisation du projet Vite + Vue 3 (Typescript)</t>
        </is>
      </c>
      <c r="F2" t="inlineStr">
        <is>
          <t>Base</t>
        </is>
      </c>
      <c r="G2" t="inlineStr">
        <is>
          <t>Moi</t>
        </is>
      </c>
      <c r="H2" t="n">
        <v>4</v>
      </c>
      <c r="I2" t="n">
        <v>4</v>
      </c>
      <c r="J2">
        <f>H2-I2</f>
        <v/>
      </c>
      <c r="K2" s="6">
        <f>IF(H2&gt;0, I2/H2, 0)</f>
        <v/>
      </c>
    </row>
    <row r="3">
      <c r="A3" t="n">
        <v>2</v>
      </c>
      <c r="B3" t="inlineStr">
        <is>
          <t>Setup</t>
        </is>
      </c>
      <c r="C3" t="inlineStr">
        <is>
          <t>Config</t>
        </is>
      </c>
      <c r="D3" t="inlineStr">
        <is>
          <t>-</t>
        </is>
      </c>
      <c r="E3" t="inlineStr">
        <is>
          <t>Configuration des environnements (.env.back, .env.front)</t>
        </is>
      </c>
      <c r="F3" t="inlineStr">
        <is>
          <t>Base</t>
        </is>
      </c>
      <c r="G3" t="inlineStr">
        <is>
          <t>Moi</t>
        </is>
      </c>
      <c r="H3" t="n">
        <v>2</v>
      </c>
      <c r="I3" t="n">
        <v>2</v>
      </c>
      <c r="J3">
        <f>H3-I3</f>
        <v/>
      </c>
      <c r="K3" s="6">
        <f>IF(H3&gt;0, I3/H3, 0)</f>
        <v/>
      </c>
    </row>
    <row r="4">
      <c r="A4" t="n">
        <v>3</v>
      </c>
      <c r="B4" t="inlineStr">
        <is>
          <t>Shared</t>
        </is>
      </c>
      <c r="C4" t="inlineStr">
        <is>
          <t>API</t>
        </is>
      </c>
      <c r="D4" t="inlineStr">
        <is>
          <t>-</t>
        </is>
      </c>
      <c r="E4" t="inlineStr">
        <is>
          <t>Implémentation du client Axios intercepté pour PrestaShop</t>
        </is>
      </c>
      <c r="F4" t="inlineStr">
        <is>
          <t>Infrastructure</t>
        </is>
      </c>
      <c r="G4" t="inlineStr">
        <is>
          <t>Moi</t>
        </is>
      </c>
      <c r="H4" t="n">
        <v>6</v>
      </c>
      <c r="I4" t="n">
        <v>6</v>
      </c>
      <c r="J4">
        <f>H4-I4</f>
        <v/>
      </c>
      <c r="K4" s="6">
        <f>IF(H4&gt;0, I4/H4, 0)</f>
        <v/>
      </c>
    </row>
    <row r="5">
      <c r="A5" t="n">
        <v>4</v>
      </c>
      <c r="B5" t="inlineStr">
        <is>
          <t>Shared</t>
        </is>
      </c>
      <c r="C5" t="inlineStr">
        <is>
          <t>XML</t>
        </is>
      </c>
      <c r="D5" t="inlineStr">
        <is>
          <t>-</t>
        </is>
      </c>
      <c r="E5" t="inlineStr">
        <is>
          <t>Développement du Serializer JS vers XML (PrestaShop Format)</t>
        </is>
      </c>
      <c r="F5" t="inlineStr">
        <is>
          <t>Infrastructure</t>
        </is>
      </c>
      <c r="G5" t="inlineStr">
        <is>
          <t>Moi</t>
        </is>
      </c>
      <c r="H5" t="n">
        <v>8</v>
      </c>
      <c r="I5" t="n">
        <v>8</v>
      </c>
      <c r="J5">
        <f>H5-I5</f>
        <v/>
      </c>
      <c r="K5" s="6">
        <f>IF(H5&gt;0, I5/H5, 0)</f>
        <v/>
      </c>
    </row>
    <row r="6">
      <c r="A6" t="n">
        <v>5</v>
      </c>
      <c r="B6" t="inlineStr">
        <is>
          <t>Shared</t>
        </is>
      </c>
      <c r="C6" t="inlineStr">
        <is>
          <t>XML</t>
        </is>
      </c>
      <c r="D6" t="inlineStr">
        <is>
          <t>-</t>
        </is>
      </c>
      <c r="E6" t="inlineStr">
        <is>
          <t>Configuration de fast-xml-parser pour les réponses API</t>
        </is>
      </c>
      <c r="F6" t="inlineStr">
        <is>
          <t>Infrastructure</t>
        </is>
      </c>
      <c r="G6" t="inlineStr">
        <is>
          <t>Moi</t>
        </is>
      </c>
      <c r="H6" t="n">
        <v>4</v>
      </c>
      <c r="I6" t="n">
        <v>4</v>
      </c>
      <c r="J6">
        <f>H6-I6</f>
        <v/>
      </c>
      <c r="K6" s="6">
        <f>IF(H6&gt;0, I6/H6, 0)</f>
        <v/>
      </c>
    </row>
    <row r="7">
      <c r="A7" t="n">
        <v>6</v>
      </c>
      <c r="B7" t="inlineStr">
        <is>
          <t>Shared</t>
        </is>
      </c>
      <c r="C7" t="inlineStr">
        <is>
          <t>Utils</t>
        </is>
      </c>
      <c r="D7" t="inlineStr">
        <is>
          <t>-</t>
        </is>
      </c>
      <c r="E7" t="inlineStr">
        <is>
          <t>Utilitaire extractIdValue pour gestion xlink:href</t>
        </is>
      </c>
      <c r="F7" t="inlineStr">
        <is>
          <t>Base</t>
        </is>
      </c>
      <c r="G7" t="inlineStr">
        <is>
          <t>Moi</t>
        </is>
      </c>
      <c r="H7" t="n">
        <v>2</v>
      </c>
      <c r="I7" t="n">
        <v>2</v>
      </c>
      <c r="J7">
        <f>H7-I7</f>
        <v/>
      </c>
      <c r="K7" s="6">
        <f>IF(H7&gt;0, I7/H7, 0)</f>
        <v/>
      </c>
    </row>
    <row r="8">
      <c r="A8" t="n">
        <v>7</v>
      </c>
      <c r="B8" t="inlineStr">
        <is>
          <t>Shared</t>
        </is>
      </c>
      <c r="C8" t="inlineStr">
        <is>
          <t>Utils</t>
        </is>
      </c>
      <c r="D8" t="inlineStr">
        <is>
          <t>-</t>
        </is>
      </c>
      <c r="E8" t="inlineStr">
        <is>
          <t>Utilitaire extractLanguageValue pour champs multilingues</t>
        </is>
      </c>
      <c r="F8" t="inlineStr">
        <is>
          <t>Base</t>
        </is>
      </c>
      <c r="G8" t="inlineStr">
        <is>
          <t>Moi</t>
        </is>
      </c>
      <c r="H8" t="n">
        <v>3</v>
      </c>
      <c r="I8" t="n">
        <v>3</v>
      </c>
      <c r="J8">
        <f>H8-I8</f>
        <v/>
      </c>
      <c r="K8" s="6">
        <f>IF(H8&gt;0, I8/H8, 0)</f>
        <v/>
      </c>
    </row>
    <row r="9">
      <c r="A9" t="n">
        <v>8</v>
      </c>
      <c r="B9" t="inlineStr">
        <is>
          <t>Backoffice</t>
        </is>
      </c>
      <c r="C9" t="inlineStr">
        <is>
          <t>Auth</t>
        </is>
      </c>
      <c r="D9" t="inlineStr">
        <is>
          <t>Login</t>
        </is>
      </c>
      <c r="E9" t="inlineStr">
        <is>
          <t>Structure HTML/CSS du formulaire de login</t>
        </is>
      </c>
      <c r="F9" t="inlineStr">
        <is>
          <t>Affichage</t>
        </is>
      </c>
      <c r="G9" t="inlineStr">
        <is>
          <t>Moi</t>
        </is>
      </c>
      <c r="H9" t="n">
        <v>5</v>
      </c>
      <c r="I9" t="n">
        <v>5</v>
      </c>
      <c r="J9">
        <f>H9-I9</f>
        <v/>
      </c>
      <c r="K9" s="6">
        <f>IF(H9&gt;0, I9/H9, 0)</f>
        <v/>
      </c>
    </row>
    <row r="10">
      <c r="A10" t="n">
        <v>9</v>
      </c>
      <c r="B10" t="inlineStr">
        <is>
          <t>Backoffice</t>
        </is>
      </c>
      <c r="C10" t="inlineStr">
        <is>
          <t>Auth</t>
        </is>
      </c>
      <c r="D10" t="inlineStr">
        <is>
          <t>Login</t>
        </is>
      </c>
      <c r="E10" t="inlineStr">
        <is>
          <t>Valeurs par défaut Admin (Email/Pass) en dev</t>
        </is>
      </c>
      <c r="F10" t="inlineStr">
        <is>
          <t>Affichage</t>
        </is>
      </c>
      <c r="G10" t="inlineStr">
        <is>
          <t>Moi</t>
        </is>
      </c>
      <c r="H10" t="n">
        <v>1</v>
      </c>
      <c r="I10" t="n">
        <v>1</v>
      </c>
      <c r="J10">
        <f>H10-I10</f>
        <v/>
      </c>
      <c r="K10" s="6">
        <f>IF(H10&gt;0, I10/H10, 0)</f>
        <v/>
      </c>
    </row>
    <row r="11">
      <c r="A11" t="n">
        <v>10</v>
      </c>
      <c r="B11" t="inlineStr">
        <is>
          <t>Backoffice</t>
        </is>
      </c>
      <c r="C11" t="inlineStr">
        <is>
          <t>Auth</t>
        </is>
      </c>
      <c r="D11" t="inlineStr">
        <is>
          <t>Store</t>
        </is>
      </c>
      <c r="E11" t="inlineStr">
        <is>
          <t>Implémentation de adminAuthStore (Pinia)</t>
        </is>
      </c>
      <c r="F11" t="inlineStr">
        <is>
          <t>Métier</t>
        </is>
      </c>
      <c r="G11" t="inlineStr">
        <is>
          <t>Moi</t>
        </is>
      </c>
      <c r="H11" t="n">
        <v>6</v>
      </c>
      <c r="I11" t="n">
        <v>6</v>
      </c>
      <c r="J11">
        <f>H11-I11</f>
        <v/>
      </c>
      <c r="K11" s="6">
        <f>IF(H11&gt;0, I11/H11, 0)</f>
        <v/>
      </c>
    </row>
    <row r="12">
      <c r="A12" t="n">
        <v>11</v>
      </c>
      <c r="B12" t="inlineStr">
        <is>
          <t>Backoffice</t>
        </is>
      </c>
      <c r="C12" t="inlineStr">
        <is>
          <t>Router</t>
        </is>
      </c>
      <c r="D12" t="inlineStr">
        <is>
          <t>Guard</t>
        </is>
      </c>
      <c r="E12" t="inlineStr">
        <is>
          <t>Protection des routes par navigation guard</t>
        </is>
      </c>
      <c r="F12" t="inlineStr">
        <is>
          <t>Intégration</t>
        </is>
      </c>
      <c r="G12" t="inlineStr">
        <is>
          <t>Moi</t>
        </is>
      </c>
      <c r="H12" t="n">
        <v>4</v>
      </c>
      <c r="I12" t="n">
        <v>4</v>
      </c>
      <c r="J12">
        <f>H12-I12</f>
        <v/>
      </c>
      <c r="K12" s="6">
        <f>IF(H12&gt;0, I12/H12, 0)</f>
        <v/>
      </c>
    </row>
    <row r="13">
      <c r="A13" t="n">
        <v>12</v>
      </c>
      <c r="B13" t="inlineStr">
        <is>
          <t>Backoffice</t>
        </is>
      </c>
      <c r="C13" t="inlineStr">
        <is>
          <t>Import</t>
        </is>
      </c>
      <c r="D13" t="inlineStr">
        <is>
          <t>ImportPage</t>
        </is>
      </c>
      <c r="E13" t="inlineStr">
        <is>
          <t>UI de téléversement Drag&amp;Drop pour 4 fichiers</t>
        </is>
      </c>
      <c r="F13" t="inlineStr">
        <is>
          <t>Affichage</t>
        </is>
      </c>
      <c r="G13" t="inlineStr">
        <is>
          <t>Moi</t>
        </is>
      </c>
      <c r="H13" t="n">
        <v>8</v>
      </c>
      <c r="I13" t="n">
        <v>8</v>
      </c>
      <c r="J13">
        <f>H13-I13</f>
        <v/>
      </c>
      <c r="K13" s="6">
        <f>IF(H13&gt;0, I13/H13, 0)</f>
        <v/>
      </c>
    </row>
    <row r="14">
      <c r="A14" t="n">
        <v>13</v>
      </c>
      <c r="B14" t="inlineStr">
        <is>
          <t>Backoffice</t>
        </is>
      </c>
      <c r="C14" t="inlineStr">
        <is>
          <t>Import</t>
        </is>
      </c>
      <c r="D14" t="inlineStr">
        <is>
          <t>Validator</t>
        </is>
      </c>
      <c r="E14" t="inlineStr">
        <is>
          <t>Vérification de conformité des noms de colonnes</t>
        </is>
      </c>
      <c r="F14" t="inlineStr">
        <is>
          <t>Métier</t>
        </is>
      </c>
      <c r="G14" t="inlineStr">
        <is>
          <t>Moi</t>
        </is>
      </c>
      <c r="H14" t="n">
        <v>5</v>
      </c>
      <c r="I14" t="n">
        <v>5</v>
      </c>
      <c r="J14">
        <f>H14-I14</f>
        <v/>
      </c>
      <c r="K14" s="6">
        <f>IF(H14&gt;0, I14/H14, 0)</f>
        <v/>
      </c>
    </row>
    <row r="15">
      <c r="A15" t="n">
        <v>14</v>
      </c>
      <c r="B15" t="inlineStr">
        <is>
          <t>Backoffice</t>
        </is>
      </c>
      <c r="C15" t="inlineStr">
        <is>
          <t>Import</t>
        </is>
      </c>
      <c r="D15" t="inlineStr">
        <is>
          <t>Validator</t>
        </is>
      </c>
      <c r="E15" t="inlineStr">
        <is>
          <t>Validation stricte format date DD/MM/YYYY</t>
        </is>
      </c>
      <c r="F15" t="inlineStr">
        <is>
          <t>Métier</t>
        </is>
      </c>
      <c r="G15" t="inlineStr">
        <is>
          <t>Moi</t>
        </is>
      </c>
      <c r="H15" t="n">
        <v>4</v>
      </c>
      <c r="I15" t="n">
        <v>4</v>
      </c>
      <c r="J15">
        <f>H15-I15</f>
        <v/>
      </c>
      <c r="K15" s="6">
        <f>IF(H15&gt;0, I15/H15, 0)</f>
        <v/>
      </c>
    </row>
    <row r="16">
      <c r="A16" t="n">
        <v>15</v>
      </c>
      <c r="B16" t="inlineStr">
        <is>
          <t>Backoffice</t>
        </is>
      </c>
      <c r="C16" t="inlineStr">
        <is>
          <t>Import</t>
        </is>
      </c>
      <c r="D16" t="inlineStr">
        <is>
          <t>Validator</t>
        </is>
      </c>
      <c r="E16" t="inlineStr">
        <is>
          <t>Contrôle des montants (prix_ttc &gt; 0)</t>
        </is>
      </c>
      <c r="F16" t="inlineStr">
        <is>
          <t>Métier</t>
        </is>
      </c>
      <c r="G16" t="inlineStr">
        <is>
          <t>Moi</t>
        </is>
      </c>
      <c r="H16" t="n">
        <v>3</v>
      </c>
      <c r="I16" t="n">
        <v>3</v>
      </c>
      <c r="J16">
        <f>H16-I16</f>
        <v/>
      </c>
      <c r="K16" s="6">
        <f>IF(H16&gt;0, I16/H16, 0)</f>
        <v/>
      </c>
    </row>
    <row r="17">
      <c r="A17" t="n">
        <v>16</v>
      </c>
      <c r="B17" t="inlineStr">
        <is>
          <t>Backoffice</t>
        </is>
      </c>
      <c r="C17" t="inlineStr">
        <is>
          <t>Import</t>
        </is>
      </c>
      <c r="D17" t="inlineStr">
        <is>
          <t>Service</t>
        </is>
      </c>
      <c r="E17" t="inlineStr">
        <is>
          <t>Phase 1 : Création dynamique des taxes (Spec 1)</t>
        </is>
      </c>
      <c r="F17" t="inlineStr">
        <is>
          <t>Métier</t>
        </is>
      </c>
      <c r="G17" t="inlineStr">
        <is>
          <t>Moi</t>
        </is>
      </c>
      <c r="H17" t="n">
        <v>10</v>
      </c>
      <c r="I17" t="n">
        <v>10</v>
      </c>
      <c r="J17">
        <f>H17-I17</f>
        <v/>
      </c>
      <c r="K17" s="6">
        <f>IF(H17&gt;0, I17/H17, 0)</f>
        <v/>
      </c>
    </row>
    <row r="18">
      <c r="A18" t="n">
        <v>17</v>
      </c>
      <c r="B18" t="inlineStr">
        <is>
          <t>Backoffice</t>
        </is>
      </c>
      <c r="C18" t="inlineStr">
        <is>
          <t>Import</t>
        </is>
      </c>
      <c r="D18" t="inlineStr">
        <is>
          <t>Service</t>
        </is>
      </c>
      <c r="E18" t="inlineStr">
        <is>
          <t>Phase 2 : Mapping et création des catégories</t>
        </is>
      </c>
      <c r="F18" t="inlineStr">
        <is>
          <t>Métier</t>
        </is>
      </c>
      <c r="G18" t="inlineStr">
        <is>
          <t>Moi</t>
        </is>
      </c>
      <c r="H18" t="n">
        <v>8</v>
      </c>
      <c r="I18" t="n">
        <v>8</v>
      </c>
      <c r="J18">
        <f>H18-I18</f>
        <v/>
      </c>
      <c r="K18" s="6">
        <f>IF(H18&gt;0, I18/H18, 0)</f>
        <v/>
      </c>
    </row>
    <row r="19">
      <c r="A19" t="n">
        <v>18</v>
      </c>
      <c r="B19" t="inlineStr">
        <is>
          <t>Backoffice</t>
        </is>
      </c>
      <c r="C19" t="inlineStr">
        <is>
          <t>Import</t>
        </is>
      </c>
      <c r="D19" t="inlineStr">
        <is>
          <t>Service</t>
        </is>
      </c>
      <c r="E19" t="inlineStr">
        <is>
          <t>Phase 3 : Importation massive des produits simples</t>
        </is>
      </c>
      <c r="F19" t="inlineStr">
        <is>
          <t>Métier</t>
        </is>
      </c>
      <c r="G19" t="inlineStr">
        <is>
          <t>Moi</t>
        </is>
      </c>
      <c r="H19" t="n">
        <v>12</v>
      </c>
      <c r="I19" t="n">
        <v>12</v>
      </c>
      <c r="J19">
        <f>H19-I19</f>
        <v/>
      </c>
      <c r="K19" s="6">
        <f>IF(H19&gt;0, I19/H19, 0)</f>
        <v/>
      </c>
    </row>
    <row r="20">
      <c r="A20" t="n">
        <v>19</v>
      </c>
      <c r="B20" t="inlineStr">
        <is>
          <t>Backoffice</t>
        </is>
      </c>
      <c r="C20" t="inlineStr">
        <is>
          <t>Import</t>
        </is>
      </c>
      <c r="D20" t="inlineStr">
        <is>
          <t>Service</t>
        </is>
      </c>
      <c r="E20" t="inlineStr">
        <is>
          <t>Phase 4 : Création des options (spécificités)</t>
        </is>
      </c>
      <c r="F20" t="inlineStr">
        <is>
          <t>Métier</t>
        </is>
      </c>
      <c r="G20" t="inlineStr">
        <is>
          <t>Moi</t>
        </is>
      </c>
      <c r="H20" t="n">
        <v>6</v>
      </c>
      <c r="I20" t="n">
        <v>6</v>
      </c>
      <c r="J20">
        <f>H20-I20</f>
        <v/>
      </c>
      <c r="K20" s="6">
        <f>IF(H20&gt;0, I20/H20, 0)</f>
        <v/>
      </c>
    </row>
    <row r="21">
      <c r="A21" t="n">
        <v>20</v>
      </c>
      <c r="B21" t="inlineStr">
        <is>
          <t>Backoffice</t>
        </is>
      </c>
      <c r="C21" t="inlineStr">
        <is>
          <t>Import</t>
        </is>
      </c>
      <c r="D21" t="inlineStr">
        <is>
          <t>Service</t>
        </is>
      </c>
      <c r="E21" t="inlineStr">
        <is>
          <t>Phase 5 : Création des valeurs d'options</t>
        </is>
      </c>
      <c r="F21" t="inlineStr">
        <is>
          <t>Métier</t>
        </is>
      </c>
      <c r="G21" t="inlineStr">
        <is>
          <t>Moi</t>
        </is>
      </c>
      <c r="H21" t="n">
        <v>6</v>
      </c>
      <c r="I21" t="n">
        <v>6</v>
      </c>
      <c r="J21">
        <f>H21-I21</f>
        <v/>
      </c>
      <c r="K21" s="6">
        <f>IF(H21&gt;0, I21/H21, 0)</f>
        <v/>
      </c>
    </row>
    <row r="22">
      <c r="A22" t="n">
        <v>21</v>
      </c>
      <c r="B22" t="inlineStr">
        <is>
          <t>Backoffice</t>
        </is>
      </c>
      <c r="C22" t="inlineStr">
        <is>
          <t>Import</t>
        </is>
      </c>
      <c r="D22" t="inlineStr">
        <is>
          <t>Service</t>
        </is>
      </c>
      <c r="E22" t="inlineStr">
        <is>
          <t>Phase 6 : Création des combinaisons (Spec 2)</t>
        </is>
      </c>
      <c r="F22" t="inlineStr">
        <is>
          <t>Métier</t>
        </is>
      </c>
      <c r="G22" t="inlineStr">
        <is>
          <t>Moi</t>
        </is>
      </c>
      <c r="H22" t="n">
        <v>15</v>
      </c>
      <c r="I22" t="n">
        <v>15</v>
      </c>
      <c r="J22">
        <f>H22-I22</f>
        <v/>
      </c>
      <c r="K22" s="6">
        <f>IF(H22&gt;0, I22/H22, 0)</f>
        <v/>
      </c>
    </row>
    <row r="23">
      <c r="A23" t="n">
        <v>22</v>
      </c>
      <c r="B23" t="inlineStr">
        <is>
          <t>Backoffice</t>
        </is>
      </c>
      <c r="C23" t="inlineStr">
        <is>
          <t>Import</t>
        </is>
      </c>
      <c r="D23" t="inlineStr">
        <is>
          <t>Service</t>
        </is>
      </c>
      <c r="E23" t="inlineStr">
        <is>
          <t>Phase 7 : Mise à jour initiale des stocks (PUT)</t>
        </is>
      </c>
      <c r="F23" t="inlineStr">
        <is>
          <t>Métier</t>
        </is>
      </c>
      <c r="G23" t="inlineStr">
        <is>
          <t>Moi</t>
        </is>
      </c>
      <c r="H23" t="n">
        <v>8</v>
      </c>
      <c r="I23" t="n">
        <v>8</v>
      </c>
      <c r="J23">
        <f>H23-I23</f>
        <v/>
      </c>
      <c r="K23" s="6">
        <f>IF(H23&gt;0, I23/H23, 0)</f>
        <v/>
      </c>
    </row>
    <row r="24">
      <c r="A24" t="n">
        <v>23</v>
      </c>
      <c r="B24" t="inlineStr">
        <is>
          <t>Backoffice</t>
        </is>
      </c>
      <c r="C24" t="inlineStr">
        <is>
          <t>Import</t>
        </is>
      </c>
      <c r="D24" t="inlineStr">
        <is>
          <t>Service</t>
        </is>
      </c>
      <c r="E24" t="inlineStr">
        <is>
          <t>Phase 8 : Import des clients (passwd auto-hash)</t>
        </is>
      </c>
      <c r="F24" t="inlineStr">
        <is>
          <t>Métier</t>
        </is>
      </c>
      <c r="G24" t="inlineStr">
        <is>
          <t>Moi</t>
        </is>
      </c>
      <c r="H24" t="n">
        <v>10</v>
      </c>
      <c r="I24" t="n">
        <v>10</v>
      </c>
      <c r="J24">
        <f>H24-I24</f>
        <v/>
      </c>
      <c r="K24" s="6">
        <f>IF(H24&gt;0, I24/H24, 0)</f>
        <v/>
      </c>
    </row>
    <row r="25">
      <c r="A25" t="n">
        <v>24</v>
      </c>
      <c r="B25" t="inlineStr">
        <is>
          <t>Backoffice</t>
        </is>
      </c>
      <c r="C25" t="inlineStr">
        <is>
          <t>Import</t>
        </is>
      </c>
      <c r="D25" t="inlineStr">
        <is>
          <t>Service</t>
        </is>
      </c>
      <c r="E25" t="inlineStr">
        <is>
          <t>Phase 9 : Création des adresses clients</t>
        </is>
      </c>
      <c r="F25" t="inlineStr">
        <is>
          <t>Métier</t>
        </is>
      </c>
      <c r="G25" t="inlineStr">
        <is>
          <t>Moi</t>
        </is>
      </c>
      <c r="H25" t="n">
        <v>7</v>
      </c>
      <c r="I25" t="n">
        <v>7</v>
      </c>
      <c r="J25">
        <f>H25-I25</f>
        <v/>
      </c>
      <c r="K25" s="6">
        <f>IF(H25&gt;0, I25/H25, 0)</f>
        <v/>
      </c>
    </row>
    <row r="26">
      <c r="A26" t="n">
        <v>25</v>
      </c>
      <c r="B26" t="inlineStr">
        <is>
          <t>Backoffice</t>
        </is>
      </c>
      <c r="C26" t="inlineStr">
        <is>
          <t>Import</t>
        </is>
      </c>
      <c r="D26" t="inlineStr">
        <is>
          <t>Service</t>
        </is>
      </c>
      <c r="E26" t="inlineStr">
        <is>
          <t>Phase 10 : Création des paniers (Carts)</t>
        </is>
      </c>
      <c r="F26" t="inlineStr">
        <is>
          <t>Métier</t>
        </is>
      </c>
      <c r="G26" t="inlineStr">
        <is>
          <t>Moi</t>
        </is>
      </c>
      <c r="H26" t="n">
        <v>9</v>
      </c>
      <c r="I26" t="n">
        <v>9</v>
      </c>
      <c r="J26">
        <f>H26-I26</f>
        <v/>
      </c>
      <c r="K26" s="6">
        <f>IF(H26&gt;0, I26/H26, 0)</f>
        <v/>
      </c>
    </row>
    <row r="27">
      <c r="A27" t="n">
        <v>26</v>
      </c>
      <c r="B27" t="inlineStr">
        <is>
          <t>Backoffice</t>
        </is>
      </c>
      <c r="C27" t="inlineStr">
        <is>
          <t>Import</t>
        </is>
      </c>
      <c r="D27" t="inlineStr">
        <is>
          <t>Service</t>
        </is>
      </c>
      <c r="E27" t="inlineStr">
        <is>
          <t>Phase 11 : Ajout des lignes paniers complexes</t>
        </is>
      </c>
      <c r="F27" t="inlineStr">
        <is>
          <t>Métier</t>
        </is>
      </c>
      <c r="G27" t="inlineStr">
        <is>
          <t>Moi</t>
        </is>
      </c>
      <c r="H27" t="n">
        <v>10</v>
      </c>
      <c r="I27" t="n">
        <v>10</v>
      </c>
      <c r="J27">
        <f>H27-I27</f>
        <v/>
      </c>
      <c r="K27" s="6">
        <f>IF(H27&gt;0, I27/H27, 0)</f>
        <v/>
      </c>
    </row>
    <row r="28">
      <c r="A28" t="n">
        <v>27</v>
      </c>
      <c r="B28" t="inlineStr">
        <is>
          <t>Backoffice</t>
        </is>
      </c>
      <c r="C28" t="inlineStr">
        <is>
          <t>Import</t>
        </is>
      </c>
      <c r="D28" t="inlineStr">
        <is>
          <t>Service</t>
        </is>
      </c>
      <c r="E28" t="inlineStr">
        <is>
          <t>Phase 12 : Conversion panier en commande (Spec 3)</t>
        </is>
      </c>
      <c r="F28" t="inlineStr">
        <is>
          <t>Métier</t>
        </is>
      </c>
      <c r="G28" t="inlineStr">
        <is>
          <t>Moi</t>
        </is>
      </c>
      <c r="H28" t="n">
        <v>12</v>
      </c>
      <c r="I28" t="n">
        <v>12</v>
      </c>
      <c r="J28">
        <f>H28-I28</f>
        <v/>
      </c>
      <c r="K28" s="6">
        <f>IF(H28&gt;0, I28/H28, 0)</f>
        <v/>
      </c>
    </row>
    <row r="29">
      <c r="A29" t="n">
        <v>28</v>
      </c>
      <c r="B29" t="inlineStr">
        <is>
          <t>Backoffice</t>
        </is>
      </c>
      <c r="C29" t="inlineStr">
        <is>
          <t>Import</t>
        </is>
      </c>
      <c r="D29" t="inlineStr">
        <is>
          <t>Service</t>
        </is>
      </c>
      <c r="E29" t="inlineStr">
        <is>
          <t>Phase 13 : Upload et liaison des images ZIP (Spec 4)</t>
        </is>
      </c>
      <c r="F29" t="inlineStr">
        <is>
          <t>Métier</t>
        </is>
      </c>
      <c r="G29" t="inlineStr">
        <is>
          <t>Moi</t>
        </is>
      </c>
      <c r="H29" t="n">
        <v>15</v>
      </c>
      <c r="I29" t="n">
        <v>15</v>
      </c>
      <c r="J29">
        <f>H29-I29</f>
        <v/>
      </c>
      <c r="K29" s="6">
        <f>IF(H29&gt;0, I29/H29, 0)</f>
        <v/>
      </c>
    </row>
    <row r="30">
      <c r="A30" t="n">
        <v>29</v>
      </c>
      <c r="B30" t="inlineStr">
        <is>
          <t>Backoffice</t>
        </is>
      </c>
      <c r="C30" t="inlineStr">
        <is>
          <t>Dashboard</t>
        </is>
      </c>
      <c r="D30" t="inlineStr">
        <is>
          <t>Stats</t>
        </is>
      </c>
      <c r="E30" t="inlineStr">
        <is>
          <t>Graphique journalier du volume de commandes</t>
        </is>
      </c>
      <c r="F30" t="inlineStr">
        <is>
          <t>Affichage</t>
        </is>
      </c>
      <c r="G30" t="inlineStr">
        <is>
          <t>Moi</t>
        </is>
      </c>
      <c r="H30" t="n">
        <v>10</v>
      </c>
      <c r="I30" t="n">
        <v>10</v>
      </c>
      <c r="J30">
        <f>H30-I30</f>
        <v/>
      </c>
      <c r="K30" s="6">
        <f>IF(H30&gt;0, I30/H30, 0)</f>
        <v/>
      </c>
    </row>
    <row r="31">
      <c r="A31" t="n">
        <v>30</v>
      </c>
      <c r="B31" t="inlineStr">
        <is>
          <t>Backoffice</t>
        </is>
      </c>
      <c r="C31" t="inlineStr">
        <is>
          <t>Dashboard</t>
        </is>
      </c>
      <c r="D31" t="inlineStr">
        <is>
          <t>Stats</t>
        </is>
      </c>
      <c r="E31" t="inlineStr">
        <is>
          <t>Indicateur montant total journalier</t>
        </is>
      </c>
      <c r="F31" t="inlineStr">
        <is>
          <t>Affichage</t>
        </is>
      </c>
      <c r="G31" t="inlineStr">
        <is>
          <t>Moi</t>
        </is>
      </c>
      <c r="H31" t="n">
        <v>6</v>
      </c>
      <c r="I31" t="n">
        <v>6</v>
      </c>
      <c r="J31">
        <f>H31-I31</f>
        <v/>
      </c>
      <c r="K31" s="6">
        <f>IF(H31&gt;0, I31/H31, 0)</f>
        <v/>
      </c>
    </row>
    <row r="32">
      <c r="A32" t="n">
        <v>31</v>
      </c>
      <c r="B32" t="inlineStr">
        <is>
          <t>Backoffice</t>
        </is>
      </c>
      <c r="C32" t="inlineStr">
        <is>
          <t>Dashboard</t>
        </is>
      </c>
      <c r="D32" t="inlineStr">
        <is>
          <t>Stats</t>
        </is>
      </c>
      <c r="E32" t="inlineStr">
        <is>
          <t>Calcul du Total Général (toutes commandes)</t>
        </is>
      </c>
      <c r="F32" t="inlineStr">
        <is>
          <t>Métier</t>
        </is>
      </c>
      <c r="G32" t="inlineStr">
        <is>
          <t>Moi</t>
        </is>
      </c>
      <c r="H32" t="n">
        <v>4</v>
      </c>
      <c r="I32" t="n">
        <v>4</v>
      </c>
      <c r="J32">
        <f>H32-I32</f>
        <v/>
      </c>
      <c r="K32" s="6">
        <f>IF(H32&gt;0, I32/H32, 0)</f>
        <v/>
      </c>
    </row>
    <row r="33">
      <c r="A33" t="n">
        <v>32</v>
      </c>
      <c r="B33" t="inlineStr">
        <is>
          <t>Backoffice</t>
        </is>
      </c>
      <c r="C33" t="inlineStr">
        <is>
          <t>Orders</t>
        </is>
      </c>
      <c r="D33" t="inlineStr">
        <is>
          <t>List</t>
        </is>
      </c>
      <c r="E33" t="inlineStr">
        <is>
          <t>Tableau de gestion des commandes importées</t>
        </is>
      </c>
      <c r="F33" t="inlineStr">
        <is>
          <t>Affichage</t>
        </is>
      </c>
      <c r="G33" t="inlineStr">
        <is>
          <t>Moi</t>
        </is>
      </c>
      <c r="H33" t="n">
        <v>8</v>
      </c>
      <c r="I33" t="n">
        <v>8</v>
      </c>
      <c r="J33">
        <f>H33-I33</f>
        <v/>
      </c>
      <c r="K33" s="6">
        <f>IF(H33&gt;0, I33/H33, 0)</f>
        <v/>
      </c>
    </row>
    <row r="34">
      <c r="A34" t="n">
        <v>33</v>
      </c>
      <c r="B34" t="inlineStr">
        <is>
          <t>Backoffice</t>
        </is>
      </c>
      <c r="C34" t="inlineStr">
        <is>
          <t>Orders</t>
        </is>
      </c>
      <c r="D34" t="inlineStr">
        <is>
          <t>Status</t>
        </is>
      </c>
      <c r="E34" t="inlineStr">
        <is>
          <t>Boutons de changement d'état (Paiement effectué)</t>
        </is>
      </c>
      <c r="F34" t="inlineStr">
        <is>
          <t>Métier</t>
        </is>
      </c>
      <c r="G34" t="inlineStr">
        <is>
          <t>Moi</t>
        </is>
      </c>
      <c r="H34" t="n">
        <v>5</v>
      </c>
      <c r="I34" t="n">
        <v>5</v>
      </c>
      <c r="J34">
        <f>H34-I34</f>
        <v/>
      </c>
      <c r="K34" s="6">
        <f>IF(H34&gt;0, I34/H34, 0)</f>
        <v/>
      </c>
    </row>
    <row r="35">
      <c r="A35" t="n">
        <v>34</v>
      </c>
      <c r="B35" t="inlineStr">
        <is>
          <t>Backoffice</t>
        </is>
      </c>
      <c r="C35" t="inlineStr">
        <is>
          <t>Orders</t>
        </is>
      </c>
      <c r="D35" t="inlineStr">
        <is>
          <t>Status</t>
        </is>
      </c>
      <c r="E35" t="inlineStr">
        <is>
          <t>Bouton d'annulation de commande</t>
        </is>
      </c>
      <c r="F35" t="inlineStr">
        <is>
          <t>Métier</t>
        </is>
      </c>
      <c r="G35" t="inlineStr">
        <is>
          <t>Moi</t>
        </is>
      </c>
      <c r="H35" t="n">
        <v>3</v>
      </c>
      <c r="I35" t="n">
        <v>3</v>
      </c>
      <c r="J35">
        <f>H35-I35</f>
        <v/>
      </c>
      <c r="K35" s="6">
        <f>IF(H35&gt;0, I35/H35, 0)</f>
        <v/>
      </c>
    </row>
    <row r="36">
      <c r="A36" t="n">
        <v>35</v>
      </c>
      <c r="B36" t="inlineStr">
        <is>
          <t>Backoffice</t>
        </is>
      </c>
      <c r="C36" t="inlineStr">
        <is>
          <t>Stock</t>
        </is>
      </c>
      <c r="D36" t="inlineStr">
        <is>
          <t>Update</t>
        </is>
      </c>
      <c r="E36" t="inlineStr">
        <is>
          <t>Interface d'ajout manuel de stock par produit</t>
        </is>
      </c>
      <c r="F36" t="inlineStr">
        <is>
          <t>Affichage</t>
        </is>
      </c>
      <c r="G36" t="inlineStr">
        <is>
          <t>Moi</t>
        </is>
      </c>
      <c r="H36" t="n">
        <v>8</v>
      </c>
      <c r="I36" t="n">
        <v>8</v>
      </c>
      <c r="J36">
        <f>H36-I36</f>
        <v/>
      </c>
      <c r="K36" s="6">
        <f>IF(H36&gt;0, I36/H36, 0)</f>
        <v/>
      </c>
    </row>
    <row r="37">
      <c r="A37" t="n">
        <v>36</v>
      </c>
      <c r="B37" t="inlineStr">
        <is>
          <t>Backoffice</t>
        </is>
      </c>
      <c r="C37" t="inlineStr">
        <is>
          <t>Stock</t>
        </is>
      </c>
      <c r="D37" t="inlineStr">
        <is>
          <t>Graph</t>
        </is>
      </c>
      <c r="E37" t="inlineStr">
        <is>
          <t>Tableau d'évolution journalière des stocks</t>
        </is>
      </c>
      <c r="F37" t="inlineStr">
        <is>
          <t>Affichage</t>
        </is>
      </c>
      <c r="G37" t="inlineStr">
        <is>
          <t>Moi</t>
        </is>
      </c>
      <c r="H37" t="n">
        <v>10</v>
      </c>
      <c r="I37" t="n">
        <v>10</v>
      </c>
      <c r="J37">
        <f>H37-I37</f>
        <v/>
      </c>
      <c r="K37" s="6">
        <f>IF(H37&gt;0, I37/H37, 0)</f>
        <v/>
      </c>
    </row>
    <row r="38">
      <c r="A38" t="n">
        <v>37</v>
      </c>
      <c r="B38" t="inlineStr">
        <is>
          <t>Backoffice</t>
        </is>
      </c>
      <c r="C38" t="inlineStr">
        <is>
          <t>Reset</t>
        </is>
      </c>
      <c r="D38" t="inlineStr">
        <is>
          <t>ResetPage</t>
        </is>
      </c>
      <c r="E38" t="inlineStr">
        <is>
          <t>Implémentation de la purge complète des données</t>
        </is>
      </c>
      <c r="F38" t="inlineStr">
        <is>
          <t>Métier</t>
        </is>
      </c>
      <c r="G38" t="inlineStr">
        <is>
          <t>Moi</t>
        </is>
      </c>
      <c r="H38" t="n">
        <v>12</v>
      </c>
      <c r="I38" t="n">
        <v>12</v>
      </c>
      <c r="J38">
        <f>H38-I38</f>
        <v/>
      </c>
      <c r="K38" s="6">
        <f>IF(H38&gt;0, I38/H38, 0)</f>
        <v/>
      </c>
    </row>
    <row r="39">
      <c r="A39" t="n">
        <v>38</v>
      </c>
      <c r="B39" t="inlineStr">
        <is>
          <t>Frontoffice</t>
        </is>
      </c>
      <c r="C39" t="inlineStr">
        <is>
          <t>User</t>
        </is>
      </c>
      <c r="D39" t="inlineStr">
        <is>
          <t>Selection</t>
        </is>
      </c>
      <c r="E39" t="inlineStr">
        <is>
          <t>Page de sélection d'utilisateur au démarrage</t>
        </is>
      </c>
      <c r="F39" t="inlineStr">
        <is>
          <t>Affichage</t>
        </is>
      </c>
      <c r="G39" t="inlineStr">
        <is>
          <t>Moi</t>
        </is>
      </c>
      <c r="H39" t="n">
        <v>7</v>
      </c>
      <c r="I39" t="n">
        <v>7</v>
      </c>
      <c r="J39">
        <f>H39-I39</f>
        <v/>
      </c>
      <c r="K39" s="6">
        <f>IF(H39&gt;0, I39/H39, 0)</f>
        <v/>
      </c>
    </row>
    <row r="40">
      <c r="A40" t="n">
        <v>39</v>
      </c>
      <c r="B40" t="inlineStr">
        <is>
          <t>Frontoffice</t>
        </is>
      </c>
      <c r="C40" t="inlineStr">
        <is>
          <t>User</t>
        </is>
      </c>
      <c r="D40" t="inlineStr">
        <is>
          <t>Selection</t>
        </is>
      </c>
      <c r="E40" t="inlineStr">
        <is>
          <t>Option de connexion "Utilisateur Anonyme"</t>
        </is>
      </c>
      <c r="F40" t="inlineStr">
        <is>
          <t>Affichage</t>
        </is>
      </c>
      <c r="G40" t="inlineStr">
        <is>
          <t>Moi</t>
        </is>
      </c>
      <c r="H40" t="n">
        <v>3</v>
      </c>
      <c r="I40" t="n">
        <v>3</v>
      </c>
      <c r="J40">
        <f>H40-I40</f>
        <v/>
      </c>
      <c r="K40" s="6">
        <f>IF(H40&gt;0, I40/H40, 0)</f>
        <v/>
      </c>
    </row>
    <row r="41">
      <c r="A41" t="n">
        <v>40</v>
      </c>
      <c r="B41" t="inlineStr">
        <is>
          <t>Frontoffice</t>
        </is>
      </c>
      <c r="C41" t="inlineStr">
        <is>
          <t>Shop</t>
        </is>
      </c>
      <c r="D41" t="inlineStr">
        <is>
          <t>Catalog</t>
        </is>
      </c>
      <c r="E41" t="inlineStr">
        <is>
          <t>Grille de produits avec images PrestaShop</t>
        </is>
      </c>
      <c r="F41" t="inlineStr">
        <is>
          <t>Affichage</t>
        </is>
      </c>
      <c r="G41" t="inlineStr">
        <is>
          <t>Moi</t>
        </is>
      </c>
      <c r="H41" t="n">
        <v>10</v>
      </c>
      <c r="I41" t="n">
        <v>10</v>
      </c>
      <c r="J41">
        <f>H41-I41</f>
        <v/>
      </c>
      <c r="K41" s="6">
        <f>IF(H41&gt;0, I41/H41, 0)</f>
        <v/>
      </c>
    </row>
    <row r="42">
      <c r="A42" t="n">
        <v>41</v>
      </c>
      <c r="B42" t="inlineStr">
        <is>
          <t>Frontoffice</t>
        </is>
      </c>
      <c r="C42" t="inlineStr">
        <is>
          <t>Shop</t>
        </is>
      </c>
      <c r="D42" t="inlineStr">
        <is>
          <t>Badges</t>
        </is>
      </c>
      <c r="E42" t="inlineStr">
        <is>
          <t>Logique badge HOT (date_availability &lt; 1j)</t>
        </is>
      </c>
      <c r="F42" t="inlineStr">
        <is>
          <t>Métier</t>
        </is>
      </c>
      <c r="G42" t="inlineStr">
        <is>
          <t>Moi</t>
        </is>
      </c>
      <c r="H42" t="n">
        <v>5</v>
      </c>
      <c r="I42" t="n">
        <v>5</v>
      </c>
      <c r="J42">
        <f>H42-I42</f>
        <v/>
      </c>
      <c r="K42" s="6">
        <f>IF(H42&gt;0, I42/H42, 0)</f>
        <v/>
      </c>
    </row>
    <row r="43">
      <c r="A43" t="n">
        <v>42</v>
      </c>
      <c r="B43" t="inlineStr">
        <is>
          <t>Frontoffice</t>
        </is>
      </c>
      <c r="C43" t="inlineStr">
        <is>
          <t>Shop</t>
        </is>
      </c>
      <c r="D43" t="inlineStr">
        <is>
          <t>Badges</t>
        </is>
      </c>
      <c r="E43" t="inlineStr">
        <is>
          <t>Logique badge NEW (date_availability &lt; 7j)</t>
        </is>
      </c>
      <c r="F43" t="inlineStr">
        <is>
          <t>Métier</t>
        </is>
      </c>
      <c r="G43" t="inlineStr">
        <is>
          <t>Moi</t>
        </is>
      </c>
      <c r="H43" t="n">
        <v>4</v>
      </c>
      <c r="I43" t="n">
        <v>4</v>
      </c>
      <c r="J43">
        <f>H43-I43</f>
        <v/>
      </c>
      <c r="K43" s="6">
        <f>IF(H43&gt;0, I43/H43, 0)</f>
        <v/>
      </c>
    </row>
    <row r="44">
      <c r="A44" t="n">
        <v>43</v>
      </c>
      <c r="B44" t="inlineStr">
        <is>
          <t>Frontoffice</t>
        </is>
      </c>
      <c r="C44" t="inlineStr">
        <is>
          <t>Shop</t>
        </is>
      </c>
      <c r="D44" t="inlineStr">
        <is>
          <t>Search</t>
        </is>
      </c>
      <c r="E44" t="inlineStr">
        <is>
          <t>Recherche multicritère par Nom</t>
        </is>
      </c>
      <c r="F44" t="inlineStr">
        <is>
          <t>Affichage</t>
        </is>
      </c>
      <c r="G44" t="inlineStr">
        <is>
          <t>Moi</t>
        </is>
      </c>
      <c r="H44" t="n">
        <v>6</v>
      </c>
      <c r="I44" t="n">
        <v>6</v>
      </c>
      <c r="J44">
        <f>H44-I44</f>
        <v/>
      </c>
      <c r="K44" s="6">
        <f>IF(H44&gt;0, I44/H44, 0)</f>
        <v/>
      </c>
    </row>
    <row r="45">
      <c r="A45" t="n">
        <v>44</v>
      </c>
      <c r="B45" t="inlineStr">
        <is>
          <t>Frontoffice</t>
        </is>
      </c>
      <c r="C45" t="inlineStr">
        <is>
          <t>Shop</t>
        </is>
      </c>
      <c r="D45" t="inlineStr">
        <is>
          <t>Search</t>
        </is>
      </c>
      <c r="E45" t="inlineStr">
        <is>
          <t>Filtre de recherche par Catégorie</t>
        </is>
      </c>
      <c r="F45" t="inlineStr">
        <is>
          <t>Affichage</t>
        </is>
      </c>
      <c r="G45" t="inlineStr">
        <is>
          <t>Moi</t>
        </is>
      </c>
      <c r="H45" t="n">
        <v>5</v>
      </c>
      <c r="I45" t="n">
        <v>5</v>
      </c>
      <c r="J45">
        <f>H45-I45</f>
        <v/>
      </c>
      <c r="K45" s="6">
        <f>IF(H45&gt;0, I45/H45, 0)</f>
        <v/>
      </c>
    </row>
    <row r="46">
      <c r="A46" t="n">
        <v>45</v>
      </c>
      <c r="B46" t="inlineStr">
        <is>
          <t>Frontoffice</t>
        </is>
      </c>
      <c r="C46" t="inlineStr">
        <is>
          <t>Shop</t>
        </is>
      </c>
      <c r="D46" t="inlineStr">
        <is>
          <t>Search</t>
        </is>
      </c>
      <c r="E46" t="inlineStr">
        <is>
          <t>Filtre par intervalle de prix (Min/Max)</t>
        </is>
      </c>
      <c r="F46" t="inlineStr">
        <is>
          <t>Affichage</t>
        </is>
      </c>
      <c r="G46" t="inlineStr">
        <is>
          <t>Moi</t>
        </is>
      </c>
      <c r="H46" t="n">
        <v>7</v>
      </c>
      <c r="I46" t="n">
        <v>7</v>
      </c>
      <c r="J46">
        <f>H46-I46</f>
        <v/>
      </c>
      <c r="K46" s="6">
        <f>IF(H46&gt;0, I46/H46, 0)</f>
        <v/>
      </c>
    </row>
    <row r="47">
      <c r="A47" t="n">
        <v>46</v>
      </c>
      <c r="B47" t="inlineStr">
        <is>
          <t>Frontoffice</t>
        </is>
      </c>
      <c r="C47" t="inlineStr">
        <is>
          <t>Detail</t>
        </is>
      </c>
      <c r="D47" t="inlineStr">
        <is>
          <t>Product</t>
        </is>
      </c>
      <c r="E47" t="inlineStr">
        <is>
          <t>Affichage dynamique prix/déclinaison</t>
        </is>
      </c>
      <c r="F47" t="inlineStr">
        <is>
          <t>Affichage</t>
        </is>
      </c>
      <c r="G47" t="inlineStr">
        <is>
          <t>Moi</t>
        </is>
      </c>
      <c r="H47" t="n">
        <v>10</v>
      </c>
      <c r="I47" t="n">
        <v>10</v>
      </c>
      <c r="J47">
        <f>H47-I47</f>
        <v/>
      </c>
      <c r="K47" s="6">
        <f>IF(H47&gt;0, I47/H47, 0)</f>
        <v/>
      </c>
    </row>
    <row r="48">
      <c r="A48" t="n">
        <v>47</v>
      </c>
      <c r="B48" t="inlineStr">
        <is>
          <t>Frontoffice</t>
        </is>
      </c>
      <c r="C48" t="inlineStr">
        <is>
          <t>Detail</t>
        </is>
      </c>
      <c r="D48" t="inlineStr">
        <is>
          <t>Stock</t>
        </is>
      </c>
      <c r="E48" t="inlineStr">
        <is>
          <t>Affichage quantité réelle en stock (PrestaShop)</t>
        </is>
      </c>
      <c r="F48" t="inlineStr">
        <is>
          <t>Affichage</t>
        </is>
      </c>
      <c r="G48" t="inlineStr">
        <is>
          <t>Moi</t>
        </is>
      </c>
      <c r="H48" t="n">
        <v>5</v>
      </c>
      <c r="I48" t="n">
        <v>5</v>
      </c>
      <c r="J48">
        <f>H48-I48</f>
        <v/>
      </c>
      <c r="K48" s="6">
        <f>IF(H48&gt;0, I48/H48, 0)</f>
        <v/>
      </c>
    </row>
    <row r="49">
      <c r="A49" t="n">
        <v>48</v>
      </c>
      <c r="B49" t="inlineStr">
        <is>
          <t>Frontoffice</t>
        </is>
      </c>
      <c r="C49" t="inlineStr">
        <is>
          <t>Cart</t>
        </is>
      </c>
      <c r="D49" t="inlineStr">
        <is>
          <t>Store</t>
        </is>
      </c>
      <c r="E49" t="inlineStr">
        <is>
          <t>State management du panier avec persistance</t>
        </is>
      </c>
      <c r="F49" t="inlineStr">
        <is>
          <t>Métier</t>
        </is>
      </c>
      <c r="G49" t="inlineStr">
        <is>
          <t>Moi</t>
        </is>
      </c>
      <c r="H49" t="n">
        <v>8</v>
      </c>
      <c r="I49" t="n">
        <v>8</v>
      </c>
      <c r="J49">
        <f>H49-I49</f>
        <v/>
      </c>
      <c r="K49" s="6">
        <f>IF(H49&gt;0, I49/H49, 0)</f>
        <v/>
      </c>
    </row>
    <row r="50">
      <c r="A50" t="n">
        <v>49</v>
      </c>
      <c r="B50" t="inlineStr">
        <is>
          <t>Frontoffice</t>
        </is>
      </c>
      <c r="C50" t="inlineStr">
        <is>
          <t>Checkout</t>
        </is>
      </c>
      <c r="D50" t="inlineStr">
        <is>
          <t>Workflow</t>
        </is>
      </c>
      <c r="E50" t="inlineStr">
        <is>
          <t>Validation du panier et création Cart API</t>
        </is>
      </c>
      <c r="F50" t="inlineStr">
        <is>
          <t>Intégration</t>
        </is>
      </c>
      <c r="G50" t="inlineStr">
        <is>
          <t>Moi</t>
        </is>
      </c>
      <c r="H50" t="n">
        <v>12</v>
      </c>
      <c r="I50" t="n">
        <v>12</v>
      </c>
      <c r="J50">
        <f>H50-I50</f>
        <v/>
      </c>
      <c r="K50" s="6">
        <f>IF(H50&gt;0, I50/H50, 0)</f>
        <v/>
      </c>
    </row>
    <row r="51">
      <c r="A51" t="n">
        <v>50</v>
      </c>
      <c r="B51" t="inlineStr">
        <is>
          <t>Frontoffice</t>
        </is>
      </c>
      <c r="C51" t="inlineStr">
        <is>
          <t>Checkout</t>
        </is>
      </c>
      <c r="D51" t="inlineStr">
        <is>
          <t>Workflow</t>
        </is>
      </c>
      <c r="E51" t="inlineStr">
        <is>
          <t>Option unique "Paiement à la livraison"</t>
        </is>
      </c>
      <c r="F51" t="inlineStr">
        <is>
          <t>Affichage</t>
        </is>
      </c>
      <c r="G51" t="inlineStr">
        <is>
          <t>Moi</t>
        </is>
      </c>
      <c r="H51" t="n">
        <v>4</v>
      </c>
      <c r="I51" t="n">
        <v>4</v>
      </c>
      <c r="J51">
        <f>H51-I51</f>
        <v/>
      </c>
      <c r="K51" s="6">
        <f>IF(H51&gt;0, I51/H51, 0)</f>
        <v/>
      </c>
    </row>
    <row r="52">
      <c r="A52" t="n">
        <v>51</v>
      </c>
      <c r="B52" t="inlineStr">
        <is>
          <t>Frontoffice</t>
        </is>
      </c>
      <c r="C52" t="inlineStr">
        <is>
          <t>Checkout</t>
        </is>
      </c>
      <c r="D52" t="inlineStr">
        <is>
          <t>Success</t>
        </is>
      </c>
      <c r="E52" t="inlineStr">
        <is>
          <t>Page de confirmation de commande</t>
        </is>
      </c>
      <c r="F52" t="inlineStr">
        <is>
          <t>Affichage</t>
        </is>
      </c>
      <c r="G52" t="inlineStr">
        <is>
          <t>Moi</t>
        </is>
      </c>
      <c r="H52" t="n">
        <v>5</v>
      </c>
      <c r="I52" t="n">
        <v>5</v>
      </c>
      <c r="J52">
        <f>H52-I52</f>
        <v/>
      </c>
      <c r="K52" s="6">
        <f>IF(H52&gt;0, I52/H52, 0)</f>
        <v/>
      </c>
    </row>
    <row r="53">
      <c r="A53" t="n">
        <v>52</v>
      </c>
      <c r="B53" t="inlineStr">
        <is>
          <t>Frontoffice</t>
        </is>
      </c>
      <c r="C53" t="inlineStr">
        <is>
          <t>Orders</t>
        </is>
      </c>
      <c r="D53" t="inlineStr">
        <is>
          <t>MyOrder</t>
        </is>
      </c>
      <c r="E53" t="inlineStr">
        <is>
          <t>Historique des commandes pour l'utilisateur</t>
        </is>
      </c>
      <c r="F53" t="inlineStr">
        <is>
          <t>Affichage</t>
        </is>
      </c>
      <c r="G53" t="inlineStr">
        <is>
          <t>Moi</t>
        </is>
      </c>
      <c r="H53" t="n">
        <v>8</v>
      </c>
      <c r="I53" t="n">
        <v>8</v>
      </c>
      <c r="J53">
        <f>H53-I53</f>
        <v/>
      </c>
      <c r="K53" s="6">
        <f>IF(H53&gt;0, I53/H53, 0)</f>
        <v/>
      </c>
    </row>
    <row r="54">
      <c r="A54" t="n">
        <v>53</v>
      </c>
      <c r="B54" t="inlineStr">
        <is>
          <t>Integration</t>
        </is>
      </c>
      <c r="C54" t="inlineStr">
        <is>
          <t>PrestaShop</t>
        </is>
      </c>
      <c r="D54" t="inlineStr">
        <is>
          <t>-</t>
        </is>
      </c>
      <c r="E54" t="inlineStr">
        <is>
          <t>Création endpoint PHP personnalisé (updateQuantity)</t>
        </is>
      </c>
      <c r="F54" t="inlineStr">
        <is>
          <t>Métier</t>
        </is>
      </c>
      <c r="G54" t="inlineStr">
        <is>
          <t>Moi</t>
        </is>
      </c>
      <c r="H54" t="n">
        <v>15</v>
      </c>
      <c r="I54" t="n">
        <v>15</v>
      </c>
      <c r="J54">
        <f>H54-I54</f>
        <v/>
      </c>
      <c r="K54" s="6">
        <f>IF(H54&gt;0, I54/H54, 0)</f>
        <v/>
      </c>
    </row>
    <row r="55">
      <c r="A55" t="n">
        <v>54</v>
      </c>
      <c r="B55" t="inlineStr">
        <is>
          <t>Integration</t>
        </is>
      </c>
      <c r="C55" t="inlineStr">
        <is>
          <t>PrestaShop</t>
        </is>
      </c>
      <c r="D55" t="inlineStr">
        <is>
          <t>-</t>
        </is>
      </c>
      <c r="E55" t="inlineStr">
        <is>
          <t>Test d'impact bidirectionnel (Presta &lt;=&gt; NewApp)</t>
        </is>
      </c>
      <c r="F55" t="inlineStr">
        <is>
          <t>Validation</t>
        </is>
      </c>
      <c r="G55" t="inlineStr">
        <is>
          <t>Moi</t>
        </is>
      </c>
      <c r="H55" t="n">
        <v>10</v>
      </c>
      <c r="I55" t="n">
        <v>10</v>
      </c>
      <c r="J55">
        <f>H55-I55</f>
        <v/>
      </c>
      <c r="K55" s="6">
        <f>IF(H55&gt;0, I55/H55, 0)</f>
        <v/>
      </c>
    </row>
    <row r="56">
      <c r="A56" t="n">
        <v>55</v>
      </c>
      <c r="B56" t="inlineStr">
        <is>
          <t>Integration</t>
        </is>
      </c>
      <c r="C56" t="inlineStr">
        <is>
          <t>Config</t>
        </is>
      </c>
      <c r="D56" t="inlineStr">
        <is>
          <t>-</t>
        </is>
      </c>
      <c r="E56" t="inlineStr">
        <is>
          <t>Configuration Pays: France / Devise: Euro</t>
        </is>
      </c>
      <c r="F56" t="inlineStr">
        <is>
          <t>Base</t>
        </is>
      </c>
      <c r="G56" t="inlineStr">
        <is>
          <t>Moi</t>
        </is>
      </c>
      <c r="H56" t="n">
        <v>2</v>
      </c>
      <c r="I56" t="n">
        <v>2</v>
      </c>
      <c r="J56">
        <f>H56-I56</f>
        <v/>
      </c>
      <c r="K56" s="6">
        <f>IF(H56&gt;0, I56/H56, 0)</f>
        <v/>
      </c>
    </row>
    <row r="57">
      <c r="G57" t="inlineStr">
        <is>
          <t>TOTAL</t>
        </is>
      </c>
      <c r="H57">
        <f>SUM(H2:H56)</f>
        <v/>
      </c>
      <c r="I57">
        <f>SUM(I2:I56)</f>
        <v/>
      </c>
      <c r="J57">
        <f>SUM(J2:J56)</f>
        <v/>
      </c>
      <c r="K57" s="6">
        <f>I57/H57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2026-05-17T21:37:19Z</dcterms:created>
  <dcterms:modified xsi:type="dcterms:W3CDTF">2026-05-17T21:37:19Z</dcterms:modified>
</cp:coreProperties>
</file>